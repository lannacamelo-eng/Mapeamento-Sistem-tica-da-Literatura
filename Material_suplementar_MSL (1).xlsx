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ia-me" sheetId="1" state="visible" r:id="rId3"/>
    <sheet name="MS4 Registros (208)" sheetId="2" state="visible" r:id="rId4"/>
    <sheet name="MS1 Corpus (26)" sheetId="3" state="visible" r:id="rId5"/>
    <sheet name="MS2 Robustez (26)" sheetId="4" state="visible" r:id="rId6"/>
    <sheet name="MS3 Alta aderência (34)" sheetId="5" state="visible" r:id="rId7"/>
    <sheet name="MS5 Estratégias de busca" sheetId="6" state="visible" r:id="rId8"/>
  </sheets>
  <definedNames>
    <definedName function="false" hidden="true" localSheetId="2" name="_xlnm._FilterDatabase" vbProcedure="false">'MS1 Corpus (26)'!$A$1:$K$27</definedName>
    <definedName function="false" hidden="true" localSheetId="3" name="_xlnm._FilterDatabase" vbProcedure="false">'MS2 Robustez (26)'!$A$1:$H$27</definedName>
    <definedName function="false" hidden="true" localSheetId="4" name="_xlnm._FilterDatabase" vbProcedure="false">'MS3 Alta aderência (34)'!$A$1:$H$35</definedName>
    <definedName function="false" hidden="true" localSheetId="1" name="_xlnm._FilterDatabase" vbProcedure="false">'MS4 Registros (208)'!$A$1:$N$209</definedName>
    <definedName function="false" hidden="true" localSheetId="5" name="_xlnm._FilterDatabase" vbProcedure="false">'MS5 Estratégias de busca'!$A$1:$D$64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<sst xmlns="http://schemas.openxmlformats.org/spreadsheetml/2006/main" count="3939" uniqueCount="1245">
  <si>
    <t xml:space="preserve">Item</t>
  </si>
  <si>
    <t xml:space="preserve">Descrição</t>
  </si>
  <si>
    <t xml:space="preserve">Material suplementar do artigo</t>
  </si>
  <si>
    <t xml:space="preserve">Padrões processuais potencialmente relevantes à análise da litigiosidade abusiva: mapeamento sistemático da literatura (2020-2026) e subsídios para um modelo de apoio</t>
  </si>
  <si>
    <t xml:space="preserve">Origem dos dados</t>
  </si>
  <si>
    <t xml:space="preserve">Matriz auditada (aba "Protocolo - Extração de Dados"), 208 registros. Os avaliadores foram anonimizados como Pesquisador 1 a 4, conforme a Tabela 1 do artigo.</t>
  </si>
  <si>
    <t xml:space="preserve">Abas</t>
  </si>
  <si>
    <t xml:space="preserve">MS1 corpus final (26 estudos) | MS2 apreciação de robustez | MS3 registros de alta aderência (7-8) fora do corpus | MS4 os 208 registros, classificações e situação no fluxo | MS5 estratégias de busca (Apêndice A).</t>
  </si>
  <si>
    <t xml:space="preserve">Categoria final adotada</t>
  </si>
  <si>
    <t xml:space="preserve">Terceira revisão; nos cinco registros sem 3ª avaliação (F_173, F_179, F_182, F_186, F_192) adotou-se a 2ª revisão, coincidente com a triagem original (ver coluna "Origem da categoria final" em MS4).</t>
  </si>
  <si>
    <t xml:space="preserve">Ajuste em MS1</t>
  </si>
  <si>
    <t xml:space="preserve">No registro F_089 (S13), as colunas da matriz original estavam deslocadas (título, esfera, tecnologia, tipo e resultados); foram realinhadas. O conteúdo foi preservado.</t>
  </si>
  <si>
    <t xml:space="preserve">Duplicidades</t>
  </si>
  <si>
    <t xml:space="preserve">S7 = F_092 (duplicidade F_196 removida); S13 = F_089 (duplicidade F_197 removida). Em MS1 consta a ocorrência mantida.</t>
  </si>
  <si>
    <t xml:space="preserve">Não constam</t>
  </si>
  <si>
    <t xml:space="preserve">Datas de execução das buscas e totais brutos retornados por consulta: não foram registrados na matriz original.</t>
  </si>
  <si>
    <t xml:space="preserve">MS2</t>
  </si>
  <si>
    <t xml:space="preserve">Apreciação qualitativa e retrospectiva, elaborada a partir dos campos da matriz; as classificações NI (método não identificado) exigem conferência no texto integral.</t>
  </si>
  <si>
    <t xml:space="preserve">Conferência de contagens (fórmulas sobre MS4)</t>
  </si>
  <si>
    <t xml:space="preserve">Registros</t>
  </si>
  <si>
    <t xml:space="preserve">Total de registros</t>
  </si>
  <si>
    <t xml:space="preserve">Web of Science</t>
  </si>
  <si>
    <t xml:space="preserve">Scopus</t>
  </si>
  <si>
    <t xml:space="preserve">Google Scholar</t>
  </si>
  <si>
    <t xml:space="preserve">Outras fontes/fornecimento manual</t>
  </si>
  <si>
    <t xml:space="preserve">Baixa aderência (0-2)</t>
  </si>
  <si>
    <t xml:space="preserve">Contribuição indireta (3-4)</t>
  </si>
  <si>
    <t xml:space="preserve">Aderência moderada (5-6)</t>
  </si>
  <si>
    <t xml:space="preserve">Alta aderência (7-8)</t>
  </si>
  <si>
    <t xml:space="preserve">Essenciais (9-10)</t>
  </si>
  <si>
    <t xml:space="preserve">Duplicidades removidas</t>
  </si>
  <si>
    <t xml:space="preserve">Excluído por pertinência (F_065)</t>
  </si>
  <si>
    <t xml:space="preserve">Incluídos no corpus final</t>
  </si>
  <si>
    <t xml:space="preserve">ID do registro</t>
  </si>
  <si>
    <t xml:space="preserve">Grupo de fonte</t>
  </si>
  <si>
    <t xml:space="preserve">Base e coleções (registro original)</t>
  </si>
  <si>
    <t xml:space="preserve">Autor(es), ano e DOI</t>
  </si>
  <si>
    <t xml:space="preserve">Título</t>
  </si>
  <si>
    <t xml:space="preserve">Triagem original</t>
  </si>
  <si>
    <t xml:space="preserve">Responsável (triagem)</t>
  </si>
  <si>
    <t xml:space="preserve">Segunda revisão</t>
  </si>
  <si>
    <t xml:space="preserve">Responsável (2ª revisão)</t>
  </si>
  <si>
    <t xml:space="preserve">Terceira revisão</t>
  </si>
  <si>
    <t xml:space="preserve">Responsável (3ª revisão)</t>
  </si>
  <si>
    <t xml:space="preserve">Origem da categoria final</t>
  </si>
  <si>
    <t xml:space="preserve">Situação no fluxo de seleção</t>
  </si>
  <si>
    <t xml:space="preserve">F_001</t>
  </si>
  <si>
    <t xml:space="preserve">web of science/International Conference on Artificial Intelligence and Law</t>
  </si>
  <si>
    <t xml:space="preserve">Eduardo Caruso Barbosa Pacheco; Glauber Machado Pinto (2025)                                     DOI
10.1145/3769126.3769259</t>
  </si>
  <si>
    <t xml:space="preserve">MAIA:AI System for Repetitive Demand Resolution in Brazi</t>
  </si>
  <si>
    <t xml:space="preserve">7-8 Alta aderência</t>
  </si>
  <si>
    <t xml:space="preserve">Pesquisador 1</t>
  </si>
  <si>
    <t xml:space="preserve">Pesquisador 2</t>
  </si>
  <si>
    <t xml:space="preserve">Pesquisador 4</t>
  </si>
  <si>
    <t xml:space="preserve">3ª revisão</t>
  </si>
  <si>
    <t xml:space="preserve">Alta aderência - fora do corpus (limiar de essencialidade); sem juízo de baixa qualidade</t>
  </si>
  <si>
    <t xml:space="preserve">F_045</t>
  </si>
  <si>
    <t xml:space="preserve">web of science/PNAS</t>
  </si>
  <si>
    <t xml:space="preserve">Garrett; Rudin; 2023; 10.1073/pnas.2301842120</t>
  </si>
  <si>
    <t xml:space="preserve">Interpretable algorithmic forensics</t>
  </si>
  <si>
    <t xml:space="preserve">5-6 Aderência moderada</t>
  </si>
  <si>
    <t xml:space="preserve">Pesquisador 3</t>
  </si>
  <si>
    <t xml:space="preserve">Aderência moderada - fora do corpus (limiar de essencialidade)</t>
  </si>
  <si>
    <t xml:space="preserve">F_003</t>
  </si>
  <si>
    <t xml:space="preserve">web of science/Revista Quaestio Iuris, v.16, n.03 (2023)</t>
  </si>
  <si>
    <t xml:space="preserve">Rodrigo Borges Valadão; Bruno de Macedo Dias (2023</t>
  </si>
  <si>
    <t xml:space="preserve">Inteligência Artificial e Redução de Litigiosidade: implementação em meios extrajudiciais de resolução de controvérsia</t>
  </si>
  <si>
    <t xml:space="preserve">3-4 Contribuição indireta</t>
  </si>
  <si>
    <t xml:space="preserve">F_004</t>
  </si>
  <si>
    <t xml:space="preserve">Bases acadêmicas e plataformas judiciais (conforme metodologia PRISMA/Kitchenham)</t>
  </si>
  <si>
    <t xml:space="preserve">Gabriele S. Araújo; Ewaldo E. C. Santana; Antonio F. L. Jacob Junior; Fábio M. F. Lobato   https://doi.org/10.5753/sbsi.2025.246589</t>
  </si>
  <si>
    <t xml:space="preserve">)</t>
  </si>
  <si>
    <t xml:space="preserve">0-2 Baixa aderência</t>
  </si>
  <si>
    <t xml:space="preserve">Baixa aderência - excluído</t>
  </si>
  <si>
    <t xml:space="preserve">F_005</t>
  </si>
  <si>
    <t xml:space="preserve">Francesco Borgesano; Annarita De Maio; Pasquale Laghi; Roberto Musmanno; 2025; 10.1108/EJIM-01-2025-0117</t>
  </si>
  <si>
    <t xml:space="preserve">Artificial intelligence and justice: a systematic literature review and future research perspectives on Justice 5.0</t>
  </si>
  <si>
    <t xml:space="preserve">F_006</t>
  </si>
  <si>
    <t xml:space="preserve">Bibliografia de revisão de literatura e análise de implementação tecnológica no judiciário brasileiro</t>
  </si>
  <si>
    <t xml:space="preserve">Carla Bonfadini; 2025  http://biblioteca.trf2.jus.br/sophia_web/index.asp?codigo_sophia=178414</t>
  </si>
  <si>
    <t xml:space="preserve">Redefining Jurisdiction and Combating Predatory Litigation: The Role of Technological Tools in Modern Legal Systems</t>
  </si>
  <si>
    <t xml:space="preserve">F_067</t>
  </si>
  <si>
    <t xml:space="preserve">web of science/ Laws</t>
  </si>
  <si>
    <t xml:space="preserve">L.A.C. Münch; T.S. Ferraz. 2024. DOI: 10.3390/laws13010004</t>
  </si>
  <si>
    <t xml:space="preserve">Exploring Defuturing to Design Artificial-Intelligence Artifacts: A Systemic-Design Approach to Tackle Litigiousness in the Brazilian Judiciary (Explorando o "Defuturing" no Projeto de Artefatos de Inteligência Artificial: Uma Abordagem de Design Sistêmico para Enfrentar a Litigiosidade no Judiciário Brasileiro)</t>
  </si>
  <si>
    <t xml:space="preserve">9-10 Essencial</t>
  </si>
  <si>
    <t xml:space="preserve">Incluído no corpus final (S6)</t>
  </si>
  <si>
    <t xml:space="preserve">F_008</t>
  </si>
  <si>
    <t xml:space="preserve">web of science/Applied Mathematics (MDPI), v. 6, 2026</t>
  </si>
  <si>
    <t xml:space="preserve">Wullianallur Raghupathi (2026)   https://doi.org/10.3390/appliedmath6020032</t>
  </si>
  <si>
    <t xml:space="preserve">Exploring Artificial Intelligence and Machine Learning Approaches to Legal Reasoning (Exploração de Abordagens de Inteligência Artificial e Aprendizado de Máquina para o Raciocínio Jurídico)</t>
  </si>
  <si>
    <t xml:space="preserve">F_009</t>
  </si>
  <si>
    <t xml:space="preserve">web of science/ICAIL 2021 – International Conference on Artificial Intelligence and Law</t>
  </si>
  <si>
    <t xml:space="preserve">Devin J. McConnell; James Zhu; Sachin Pandya; Derek Aguiar (2021) DOI : 10.1145/3462757.3466101</t>
  </si>
  <si>
    <t xml:space="preserve">Case-Level Motion Outcome Prediction in Civil Litigation (Previsão de Resultados de Moções em Nível de Caso em Litígios Cíveis)</t>
  </si>
  <si>
    <t xml:space="preserve">F_010</t>
  </si>
  <si>
    <t xml:space="preserve">web of science/Dædalus – Journal of the American Academy of Arts and Sciences (2022)</t>
  </si>
  <si>
    <t xml:space="preserve">Sonia K. Katyal (2022) DOI
10.1162/daed_a_01919</t>
  </si>
  <si>
    <t xml:space="preserve">Democracy and Distrust in an Age of Artificial Intelligence(Democracia e Desconfiança em uma Era de Inteligência Artificial)</t>
  </si>
  <si>
    <t xml:space="preserve">F_011</t>
  </si>
  <si>
    <t xml:space="preserve">web of science/AI Open (Elsevier), v. 5, 2024</t>
  </si>
  <si>
    <t xml:space="preserve">Jinqi Lai; Wensheng Gan; Jia Yang Wu; Zhenlian Qi; Philip S. Yu (2024)    https://doi.org/10.1016/j.aiopen.2024.09.002</t>
  </si>
  <si>
    <t xml:space="preserve">Large Language Models in Law: A Survey (Modelos Linguísticos Abrangentes no Direito: Uma Pesquisa)</t>
  </si>
  <si>
    <t xml:space="preserve">F_071</t>
  </si>
  <si>
    <t xml:space="preserve">web of science/ICAIL 2025</t>
  </si>
  <si>
    <t xml:space="preserve">C. Arvin. 2025. DOI: 10.1145/3769126.3769128</t>
  </si>
  <si>
    <t xml:space="preserve">Identifying Legal Holdings with LLMs: A Systematic Study of Performance, Scale, and Memorization (Identificação de Teses Jurídicas com LLMs: Um Estudo Sistemático de Desempenho, Escala e Memorização)</t>
  </si>
  <si>
    <t xml:space="preserve">F_083</t>
  </si>
  <si>
    <t xml:space="preserve">web of science/ICAIL 2025 – Twentieth International Conference on Artificial Intelligence and Law</t>
  </si>
  <si>
    <t xml:space="preserve">F. Bomfim; J. Neto; A. Neves; V. Furtado; S. Silva; V. Pinheiro. 2025. DOI: 10.1145/3769126.3769244</t>
  </si>
  <si>
    <t xml:space="preserve">Automating Legal Reasoning with Generative AI: A Framework for Judicial Decision Support (Automatizando o Raciocínio Jurídico com IA Generativa: Um Framework para Apoio à Decisão Judicial)</t>
  </si>
  <si>
    <t xml:space="preserve">F_014</t>
  </si>
  <si>
    <t xml:space="preserve">web of science/ICAART 2022 – 14th International Conference on Agents and Artificial Intelligence (SCITEPRESS)</t>
  </si>
  <si>
    <t xml:space="preserve">Avi Bleiweiss (2022)   DOI: 10.5220/0010974300003116</t>
  </si>
  <si>
    <t xml:space="preserve">Topic Area Discovery from Judicial Opinion Summaries Using Neural Text Processing (Descoberta de Áreas Temáticas a partir de Resumos de Pareceres Jurídicos Utilizando Processamento Neural de Texto)</t>
  </si>
  <si>
    <t xml:space="preserve">Aderência moderada - fora do corpus; referência complementar (Bleiweiss, 2022)</t>
  </si>
  <si>
    <t xml:space="preserve">F_015</t>
  </si>
  <si>
    <t xml:space="preserve">web of science/Applied Sciences (MDPI), v. 16, 2026</t>
  </si>
  <si>
    <t xml:space="preserve">Wullianallur Raghupathi; Aditya Saharia; Tanush Kulkarni (2026)     https://doi.org/10.3390/app16010235</t>
  </si>
  <si>
    <t xml:space="preserve">Identifying Key Issues in Artificial Intelligence Litigation: A Machine Learning Text Analytic Approach (Identificação das Principais Questões na Litigância sobre Inteligência Artificial: Uma Abordagem de Análise Textual por Aprendizado de Máquina)</t>
  </si>
  <si>
    <t xml:space="preserve">F_016</t>
  </si>
  <si>
    <t xml:space="preserve">web of science/Revista Direito GV, Escola de Direito de São Paulo da Fundação Getulio Vargas</t>
  </si>
  <si>
    <t xml:space="preserve">Anthony E. Davis (2020)     DOI: http://dx.doi.org/10.1590/2317-6172201945</t>
  </si>
  <si>
    <t xml:space="preserve">The Future of Law Firms (and Lawyers) in the Age of Artificial Intelligence (O Futuro dos Escritórios de Advocacia (e dos Advogados) na Era da Inteligência Artificial)</t>
  </si>
  <si>
    <t xml:space="preserve">F_099</t>
  </si>
  <si>
    <t xml:space="preserve">Scopus – Mana: Estudos de Antropologia Social</t>
  </si>
  <si>
    <t xml:space="preserve">S.R. Munhoz; V.P. Perin; M. dos Santos Ribeiro. 2024. DOI: 10.1590/1678-49442024V30N2E2024014.PT</t>
  </si>
  <si>
    <t xml:space="preserve">Big Data: Ways of Doing, Comparing and Governing (Big Data: Modos de Fazer, Comparar e Governar)</t>
  </si>
  <si>
    <t xml:space="preserve">Contribuição indireta - fora do corpus (limiar de essencialidade)</t>
  </si>
  <si>
    <t xml:space="preserve">F_018</t>
  </si>
  <si>
    <t xml:space="preserve">web of science/ Journal Citation Reports  2025.  </t>
  </si>
  <si>
    <t xml:space="preserve">Contini, F( Contini, Francesco )DOI
10.5204/lthj.2695 2023</t>
  </si>
  <si>
    <t xml:space="preserve">The Never-Ending Crisis of Italian Justice: Role and Responsibility of its Governance System ( A crise interminável da justiça italiana: papel e responsabilidade de seu sistema de
governança</t>
  </si>
  <si>
    <t xml:space="preserve">F_019</t>
  </si>
  <si>
    <t xml:space="preserve">web of science/Revista de Direito GV</t>
  </si>
  <si>
    <t xml:space="preserve">Luiz Akutsu e Tomás de Aquino Guimarães. DOI
10.1590/S1808-24322012000100008 Ano 2012</t>
  </si>
  <si>
    <t xml:space="preserve">Judicial governance dimensions and their appointment to the Brazilian judicial system (DIMENSÕES DA GOVERNANÇA JUDICIAL E SUA APLICAÇÃO AO SISTEMA JUDICIAL BRASILEIRO)
APLICAÇÃO AO SISTEMA JUDICIAL BRASILEIRO)</t>
  </si>
  <si>
    <t xml:space="preserve">F_020</t>
  </si>
  <si>
    <t xml:space="preserve">web of science/ 
JOURNAL OF ORGANIZATIONAL AND END USER COMPUTING
</t>
  </si>
  <si>
    <t xml:space="preserve">Chen, JJ( Chen, Jiajun ) [1] ;  Lou, ZJ( Lou, Zhengjie ) [2] ;  Chen, GH( Chen, Guanhe ) [3] ;  Zhang, C( Zhang, Chi ) [4] ;  Li, Y( Li, Yang ) [5] DOI
10.4018/JOEUC.392618 ano 2025</t>
  </si>
  <si>
    <t xml:space="preserve">Research on the Application of AI-Based Intelligent Decision Support Systems in E-Government Services ( Pesquisa sobre a aplicação de
sistemas de apoio à decisão inteligente baseados
em IA
em serviços de governo eletrônico)</t>
  </si>
  <si>
    <t xml:space="preserve">F_021</t>
  </si>
  <si>
    <t xml:space="preserve">web of science/ 
FRONTIERS IN POLITICAL SCIENCE Coleção analisada: artigos científicos publicados entre 2000 e 2023.
</t>
  </si>
  <si>
    <t xml:space="preserve">Lin, Z ;  (Lin, Zhao) [1] Yaakop, MR (Yaakop, Mohd Rizal) [1] DOI
10.3389/fpos.2024.1403404 ano 2024</t>
  </si>
  <si>
    <t xml:space="preserve">Research on digital governance based on Web of Science-a bibliometric analysis ( Pesquisa sobre governança digital
com base na Web of Science —
uma análise bibliométrica)</t>
  </si>
  <si>
    <t xml:space="preserve">F_104</t>
  </si>
  <si>
    <t xml:space="preserve">Scopus – Revista Brasileira de Estudos Políticos</t>
  </si>
  <si>
    <t xml:space="preserve">A.B.C. Barbosa. 2024. DOI: 10.9732/2024.V128.1200</t>
  </si>
  <si>
    <t xml:space="preserve">The Court of Auditors of Brazil: A New Agenda for Action Based on a Rereading of the Competence Matrix of the External Control System (Os Tribunais de Contas do Brasil: Uma Nova Agenda de Atuação Baseada na Releitura da Matriz de Competência do Sistema de Controle Externo)</t>
  </si>
  <si>
    <t xml:space="preserve">F_023</t>
  </si>
  <si>
    <t xml:space="preserve">web of science / 
ScienceDirect (Elsevier) – Computers in Human Behavior Reports.</t>
  </si>
  <si>
    <t xml:space="preserve">King-Huey Shao; Wei-Ting Tsai; Bao-Yu Chen. 2026. DOI: 10.1016/j.chbr.2026.101006.</t>
  </si>
  <si>
    <t xml:space="preserve">Mitigating Algorithm Aversion in the Judiciary: How Systemic Dissatisfaction Drives AI Acceptance ( Mitigando a aversão a algoritmos no judiciário: como a insatisfação sistêmica
impulsiona a aceitação da IA)</t>
  </si>
  <si>
    <t xml:space="preserve">F_041</t>
  </si>
  <si>
    <t xml:space="preserve">web of science/Veterinary world</t>
  </si>
  <si>
    <t xml:space="preserve">Souza et al.; 2026        10.14202/vetworld.2026.933-947</t>
  </si>
  <si>
    <t xml:space="preserve">Biobanks in veterinary forensic medicine</t>
  </si>
  <si>
    <t xml:space="preserve">F_042</t>
  </si>
  <si>
    <t xml:space="preserve">web of science/Revista de Gestão e Secretariado</t>
  </si>
  <si>
    <t xml:space="preserve">Santo et al.; 2022     DOI         10.7769/gesec.v13i3.1447</t>
  </si>
  <si>
    <t xml:space="preserve">Copyright of creations made by artificial intelligence</t>
  </si>
  <si>
    <t xml:space="preserve">F_043</t>
  </si>
  <si>
    <t xml:space="preserve">web of science/ Law, Probability &amp; Risk</t>
  </si>
  <si>
    <t xml:space="preserve">Biedermann; Lau; 2024; 10.1093/lpr/mgae007</t>
  </si>
  <si>
    <t xml:space="preserve">Decisionalizing the problem of reliance on expert and machine evidence</t>
  </si>
  <si>
    <t xml:space="preserve">F_117</t>
  </si>
  <si>
    <t xml:space="preserve">Web of Science – Indiana Law Journal</t>
  </si>
  <si>
    <t xml:space="preserve">D.L. Simon. 2021 WOS:000713996500002/ISSN         0019-6665</t>
  </si>
  <si>
    <t xml:space="preserve">The Settlement Trap (A Armadilha do Acordo)</t>
  </si>
  <si>
    <t xml:space="preserve">F_048</t>
  </si>
  <si>
    <t xml:space="preserve">web of science/Journal of Medical Ethics</t>
  </si>
  <si>
    <t xml:space="preserve">Yoon; Torrance; Scheinerman; 2022; 10.1136/medethics-2020-107102</t>
  </si>
  <si>
    <t xml:space="preserve">Machine learning in medicine</t>
  </si>
  <si>
    <t xml:space="preserve">F_049</t>
  </si>
  <si>
    <t xml:space="preserve">web of science/Middle East Policy</t>
  </si>
  <si>
    <t xml:space="preserve">Ziv; 2025; 10.1111/mepo.12810</t>
  </si>
  <si>
    <t xml:space="preserve">Military Reservists and the Resistance to Netanyahu's Legal Overhaul</t>
  </si>
  <si>
    <t xml:space="preserve">F_050</t>
  </si>
  <si>
    <t xml:space="preserve">web of science/Knowledge Engineering Review</t>
  </si>
  <si>
    <t xml:space="preserve">De Souza et al.; 2023; 10.1017/S0269888923000073</t>
  </si>
  <si>
    <t xml:space="preserve">Selecting and ranking leading cases in Brazilian Supreme Court decisions</t>
  </si>
  <si>
    <t xml:space="preserve">F_137</t>
  </si>
  <si>
    <t xml:space="preserve">Scopus / Revista Eletrônica de Direito Processual</t>
  </si>
  <si>
    <t xml:space="preserve">R. de Castro Mendes et al. (2024). DOI: 10.12957/redp.2024.86367</t>
  </si>
  <si>
    <t xml:space="preserve">Use of Jurimetrics and Artificial Intelligence in Binding Precedents (Uso da Jurimetria e da Inteligência Artificial nos Precedentes Vinculantes)</t>
  </si>
  <si>
    <t xml:space="preserve">F_053</t>
  </si>
  <si>
    <t xml:space="preserve">web of science/Artificial Intelligence and Law</t>
  </si>
  <si>
    <t xml:space="preserve">L. Resck et al.; 2025; DOI: 10.1007/s10506-025-09446-w</t>
  </si>
  <si>
    <t xml:space="preserve">LegalAnalytics: bridging visual explanations and workload streamline in Brazilian Supreme Court appeals — LegalAnalytics: integrando explicações visuais e otimização do fluxo de trabalho em recursos extraordinários no STF</t>
  </si>
  <si>
    <t xml:space="preserve">F_172</t>
  </si>
  <si>
    <t xml:space="preserve">Google Scholar / Government Information Quarterly (Elsevier) / https://doi.org/10.1016/j.giq.2021.101577</t>
  </si>
  <si>
    <t xml:space="preserve">Anneke Zuiderwijk; Yu-Che Chen; Fadi Salem (2021). DOI: 10.1016/j.giq.2021.101577</t>
  </si>
  <si>
    <t xml:space="preserve">Implications of the use of artificial intelligence in public governance: A systematic literature review and a research agenda ( Implicações do uso da inteligência artificial na governança pública: uma revisão sistemática da literatura e uma agenda de pesquisa.)</t>
  </si>
  <si>
    <t xml:space="preserve">F_056</t>
  </si>
  <si>
    <t xml:space="preserve">C. M. Cox; 2025; DOI: 10.1145/3769126.3769194</t>
  </si>
  <si>
    <t xml:space="preserve">Non-Herculean Data: A Philosophical Intervention in a Technical Debate about Judicial Opinions as Data Sources — Dados não hercúleos: intervenção filosófica sobre decisões judiciais como fontes de dados</t>
  </si>
  <si>
    <t xml:space="preserve">F_057</t>
  </si>
  <si>
    <t xml:space="preserve">F. Braz et al.; 2025; DOI: 10.1145/3769126.3769225</t>
  </si>
  <si>
    <t xml:space="preserve">OSIRIS: A Domain-Guided Framework for Tax Foreclosure Automation Using Large Language Models — OSIRIS: estrutura orientada por domínio para automação de execuções fiscais com LLMs</t>
  </si>
  <si>
    <t xml:space="preserve">F_058</t>
  </si>
  <si>
    <t xml:space="preserve">web of science/Asian Journal of Law and Society</t>
  </si>
  <si>
    <t xml:space="preserve">Fortes P.R.B.; 2020. DOI: 10.1017/als.2020.12</t>
  </si>
  <si>
    <t xml:space="preserve">Paths to Digital Justice: Judicial Robots, Algorithmic Decision-Making, and Due Process (Caminhos para a Justiça Digital: Robôs Judiciais, Tomada de Decisão Algorítmica e Devido Processo Legal)</t>
  </si>
  <si>
    <t xml:space="preserve">F_059</t>
  </si>
  <si>
    <t xml:space="preserve">web of science/ICAIL 2023</t>
  </si>
  <si>
    <t xml:space="preserve">I. Canavotto; J. Horty. 2023. DOI: 10.1145/3594536.3595148</t>
  </si>
  <si>
    <t xml:space="preserve">Reasoning with Hierarchies of Open-Textured Predicates (Raciocinando com Hierarquias de Predicados Jurídicos de Textura Aberta)</t>
  </si>
  <si>
    <t xml:space="preserve">F_060</t>
  </si>
  <si>
    <t xml:space="preserve">web of science/Revista Brasileira de Direito</t>
  </si>
  <si>
    <t xml:space="preserve">A.B. Santos; G.A. Vilas; A. Carvalho. 2024. DOI: 10.18256/2238-0604.2024.v20i1.5020</t>
  </si>
  <si>
    <t xml:space="preserve">The Impact of the Fusion Between Law and Technology on the Advancement of an Intelligent Brazilian Judicial System Using Artificial Intelligence (O Impacto da Fusão entre Direito e Tecnologia no Avanço de um Sistema Judiciário Brasileiro Inteligente Utilizando Inteligência Artificial)</t>
  </si>
  <si>
    <t xml:space="preserve">F_062</t>
  </si>
  <si>
    <t xml:space="preserve">web of science/Law Technology and Humans</t>
  </si>
  <si>
    <t xml:space="preserve">William Cesta; 2024. DOI: 10.5204/lthj.3400</t>
  </si>
  <si>
    <t xml:space="preserve">The Regulation of Judicial Analytics: Towards a New Research Agenda (A Regulação da Análise de Dados Judiciais: Rumo a uma Nova Agenda de Pesquisa)</t>
  </si>
  <si>
    <t xml:space="preserve">F_063</t>
  </si>
  <si>
    <t xml:space="preserve">web of science/Information &amp; Communications Technology Law</t>
  </si>
  <si>
    <t xml:space="preserve">Brian Flanagan; Guilherme Almeida; Daniel N. Chen; A. Gitahi; 2026. DOI: 10.1080/13600834.2025.2533042</t>
  </si>
  <si>
    <t xml:space="preserve">The Rule of Law or the Rule of Robots? Nationally Representative Survey Evidence from Kenya (O Estado de Direito ou o Governo dos Robôs? Evidências de Pesquisa Nacional Representativa no Quênia)</t>
  </si>
  <si>
    <t xml:space="preserve">F_177</t>
  </si>
  <si>
    <t xml:space="preserve">Scopus (Revista Eletrônica de Direito Processual)</t>
  </si>
  <si>
    <t xml:space="preserve">Aluisio Gonçalves de Castro Mendes; Carolina Paes de Castro Mendes (2023). DOI: 10.12957/redp.2023.72239</t>
  </si>
  <si>
    <t xml:space="preserve">Acesso à justiça: em busca de um processo efetivo</t>
  </si>
  <si>
    <t xml:space="preserve">F_178</t>
  </si>
  <si>
    <t xml:space="preserve">Scopus (Onati Socio-Legal Series)</t>
  </si>
  <si>
    <t xml:space="preserve">Asbjørn Storgaard; Susanna Johansson; Karsten Åström (2023). DOI: 10.35295/osls.iisl/0000-0000-0000-1351</t>
  </si>
  <si>
    <t xml:space="preserve">Introduction. Access to justice from a multi-disciplinary and socio-legal perspective: Barriers and facilitators</t>
  </si>
  <si>
    <t xml:space="preserve">F_066</t>
  </si>
  <si>
    <t xml:space="preserve">H. Sargeant; A. Izzidien; F. Steffek; 2026. DOI: 10.1007/s10506-025-09434-0</t>
  </si>
  <si>
    <t xml:space="preserve">Topic Classification of Case Law Using a Large Language Model and a New Taxonomy for UK Law: AI Insights into Summary Judgment (Classificação Temática da Jurisprudência Utilizando um Grande Modelo de Linguagem e uma Nova Taxonomia para o Direito do Reino Unido: Percepções da IA sobre o Julgamento Sumário)</t>
  </si>
  <si>
    <t xml:space="preserve">F_183</t>
  </si>
  <si>
    <t xml:space="preserve">Web of Science / Clarivate Analytics (Law &amp; Society Review)</t>
  </si>
  <si>
    <t xml:space="preserve">Whitney K. Taylor (2025). DOI: 10.1017/lsr.2025.10044</t>
  </si>
  <si>
    <t xml:space="preserve">The unintended consequences of increased access to justice</t>
  </si>
  <si>
    <t xml:space="preserve">F_185</t>
  </si>
  <si>
    <t xml:space="preserve">Scopus (British Journal of Social Work)</t>
  </si>
  <si>
    <t xml:space="preserve">Kelly Purser; Tina Cockburn; Cassandra Cross; Helene Jacmon (2018). DOI: 10.1093/bjsw/bcy041</t>
  </si>
  <si>
    <t xml:space="preserve">Alleged Financial Abuse of Those under an Enduring Power of Attorney: An Exploratory Study</t>
  </si>
  <si>
    <t xml:space="preserve">F_069</t>
  </si>
  <si>
    <t xml:space="preserve">S.R. de Pádua; F.H. Peixoto. 2025. DOI: 10.18256/g4jnx825</t>
  </si>
  <si>
    <t xml:space="preserve">Generative Artificial Intelligence in Law: from Evaluation Methodology to the Legal Correctness of LLMs and AI Agents (Inteligência Artificial Generativa no Direito: da Metodologia de Avaliação à Correção Jurídica de LLMs e Agentes de IA)</t>
  </si>
  <si>
    <t xml:space="preserve">F_070</t>
  </si>
  <si>
    <t xml:space="preserve">web of science/Law and Human Behavior</t>
  </si>
  <si>
    <t xml:space="preserve">A.D. Redlich; K. Domagalski; S.A. Woestehoff; A. Dezember; J.A. Quas. 2022. DOI: 10.1037/lhb0000495</t>
  </si>
  <si>
    <t xml:space="preserve">Guilty Plea Hearings in Juvenile and Criminal Court (Audiências de Confissão de Culpa nas Varas da Infância e nos Tribunais Criminais)</t>
  </si>
  <si>
    <t xml:space="preserve">F_188</t>
  </si>
  <si>
    <t xml:space="preserve">Eyal Katvan (2021). DOI: 10.35295/OSLS.IISL/0000-0000-0000-1186</t>
  </si>
  <si>
    <t xml:space="preserve">“Just in case”: Too much litigation?</t>
  </si>
  <si>
    <t xml:space="preserve">F_072</t>
  </si>
  <si>
    <t xml:space="preserve">J.R. de Faria; H.Y. Xie; F. Steffek. 2025. DOI: 10.1007/s10506-025-09443-z</t>
  </si>
  <si>
    <t xml:space="preserve">Information Extraction from Employment Tribunal Judgments Using a Large Language Model (Extração de Informações de Decisões de Tribunais Trabalhistas Utilizando um Grande Modelo de Linguagem)</t>
  </si>
  <si>
    <t xml:space="preserve">F_073</t>
  </si>
  <si>
    <t xml:space="preserve">web of science/ Canadian Journal of Law &amp; Jurisprudence</t>
  </si>
  <si>
    <t xml:space="preserve">A.E. Afrouzi. 2024. DOI: 10.1017/cjlj.2024.17</t>
  </si>
  <si>
    <t xml:space="preserve">John Robots, Thurgood Martian, and the Syntax Monster: A New Argument Against AI Judges (John Robots, Thurgood Marciano e o Monstro da Sintaxe: Um Novo Argumento Contra Juízes de IA)</t>
  </si>
  <si>
    <t xml:space="preserve">F_191</t>
  </si>
  <si>
    <t xml:space="preserve">Web of Science Nextgen (Information &amp; Communications Technology Law)</t>
  </si>
  <si>
    <t xml:space="preserve">Hibah Alessa (2022). DOI: 10.1080/13600834.2022.2088060</t>
  </si>
  <si>
    <t xml:space="preserve">The role of Artificial Intelligence in Online Dispute Resolution: A brief and critical overview</t>
  </si>
  <si>
    <t xml:space="preserve">F_077</t>
  </si>
  <si>
    <t xml:space="preserve">web of science/A&amp;C – Revista de Direito Administrativo &amp; Constitucional</t>
  </si>
  <si>
    <t xml:space="preserve">L.T. de Souza; C. Toledo. 2025. DOI: 10.21056/aec.v25i101.2071</t>
  </si>
  <si>
    <t xml:space="preserve">Actuarial Criminal Policy and Judicial Decision-Making by Artificial Intelligence Systems: The Rescue of Legal Principles (Política Criminal Atuarial e Tomada de Decisão Judicial por Sistemas de Inteligência Artificial: O Resgate dos Princípios Jurídicos)</t>
  </si>
  <si>
    <t xml:space="preserve">F_078</t>
  </si>
  <si>
    <t xml:space="preserve">web of science/Quaestio Iuris</t>
  </si>
  <si>
    <t xml:space="preserve">R.B. Valadão; B.D. Dias. 2023. DOI: 10.12957/rqi.2023.67194</t>
  </si>
  <si>
    <t xml:space="preserve">Artificial Intelligence and Reduction in Litigation: Evolution of the Extrajudicial Solution for Conflicts (Inteligência Artificial e Redução da Litigiosidade: Evolução da Solução Extrajudicial de Conflitos)</t>
  </si>
  <si>
    <t xml:space="preserve">F_079</t>
  </si>
  <si>
    <t xml:space="preserve">J.P. Germinari; V.M. do Carmo; F.G. Ayuda. 2024. DOI: 10.18256/2238-0604.2024.v20i2.5148</t>
  </si>
  <si>
    <t xml:space="preserve">Artificial Intelligence, Process Automation, Interoperability and Cost-Effectiveness: Where Is the Problem with the Effectiveness of Brazilian Justice? (Inteligência Artificial, Automação Processual, Interoperabilidade e Custo-Efetividade: Onde Está o Problema da Efetividade da Justiça Brasileira?)</t>
  </si>
  <si>
    <t xml:space="preserve">F_081</t>
  </si>
  <si>
    <t xml:space="preserve">web of science/JURIX 2024 – Legal Knowledge and Information Systems</t>
  </si>
  <si>
    <t xml:space="preserve">M.Z. Costa; D.F. Robson; T.B.P. Vieira; J.R. Bourguet; G. Guizzardi; J.P.A. Almeida. 2024. DOI: 10.3233/FAIA241248</t>
  </si>
  <si>
    <t xml:space="preserve">Automated Semantic Annotation Pipeline for Brazilian Judicial Decisions (Pipeline Automatizado de Anotação Semântica para Decisões Judiciais Brasileiras)</t>
  </si>
  <si>
    <t xml:space="preserve">F_082</t>
  </si>
  <si>
    <t xml:space="preserve">web of science/Conference – Legal Knowledge and Information Systems</t>
  </si>
  <si>
    <t xml:space="preserve">A. Alves; P. Miranda; R. Mello; A. Nascimento. 2023. DOI: 10.3233/FAIA230975</t>
  </si>
  <si>
    <t xml:space="preserve">Automatic Simplification of Legal Texts in Portuguese Using Machine Learning (Simplificação Automática de Textos Jurídicos em Português Utilizando Aprendizado de Máquina)</t>
  </si>
  <si>
    <t xml:space="preserve">F_207</t>
  </si>
  <si>
    <t xml:space="preserve">Google Scholar / SCISPACE</t>
  </si>
  <si>
    <t xml:space="preserve">Marcelo Veiga Franco; 2018; DOI não identificado no documento</t>
  </si>
  <si>
    <t xml:space="preserve">Administração Pública como litigante habitual: a necessária mudança da cultura jurídica de tratamento dos conflitos</t>
  </si>
  <si>
    <t xml:space="preserve">F_209</t>
  </si>
  <si>
    <t xml:space="preserve">Raquel Barofaldi Bueno; Priscilla Pereira da Costa Corrêa; 2022; DOI 10.26668/IndexLawJournals/2526-026X/2022.v8i2.9286</t>
  </si>
  <si>
    <t xml:space="preserve">Centros de Inteligência do Poder Judiciário: um olhar retrospectivo sobre as circunstâncias de seu surgimento</t>
  </si>
  <si>
    <t xml:space="preserve">F_085</t>
  </si>
  <si>
    <t xml:space="preserve">web of science/GRUR International</t>
  </si>
  <si>
    <t xml:space="preserve">M.G. Valente; A.P. Lana; A.P. Houang. 2025. DOI: 10.1093/grurint/ikae149</t>
  </si>
  <si>
    <t xml:space="preserve">Copyright and Research in Latin America: Law, Courts, and Perceptions (Direito Autoral e Pesquisa na América Latina: Direito, Tribunais e Percepções)</t>
  </si>
  <si>
    <t xml:space="preserve">F_087</t>
  </si>
  <si>
    <t xml:space="preserve">web of science/JURIX 2025 – Legal Knowledge and Information Systems</t>
  </si>
  <si>
    <t xml:space="preserve">L. Zhang; J. Savelka; K. Ashley. 2025. DOI: 10.3233/FAIA251592</t>
  </si>
  <si>
    <t xml:space="preserve">Do LLMs Truly “Understand” When a Precedent Is Overruled? (Os LLMs Realmente “Compreendem” Quando um Precedente é Superado?)</t>
  </si>
  <si>
    <t xml:space="preserve">F_088</t>
  </si>
  <si>
    <t xml:space="preserve">web of science/ Artificial Intelligence and Law</t>
  </si>
  <si>
    <t xml:space="preserve">R. Tinarrage; H. Ennes; L. Resck; L.T. Gomes; J.R. Ponciano; J. Poco. 2025. DOI: 10.1007/s10506-025-09458-6</t>
  </si>
  <si>
    <t xml:space="preserve">Empirical Analysis of Binding Precedent Efficiency in Brazilian Supreme Court via Case Classification (Análise Empírica da Eficiência das Súmulas Vinculantes no Supremo Tribunal Federal por meio de Classificação de Casos)</t>
  </si>
  <si>
    <t xml:space="preserve">F_089</t>
  </si>
  <si>
    <t xml:space="preserve">Cicero Antonio Pereira; Henrique Rodrigues Lelis (2025) DOI: doi.org/10.51891/rease.v11i10.21507</t>
  </si>
  <si>
    <t xml:space="preserve">O PAPEL DO CNJ NO COMBATE À LITIGÂNCIA PREDATÓRIA   CNJ, Corregedoria Nacional, STF e Tribunais Estaduais (TJSP, TJPE, TJMG, TJMS, TJRJ). </t>
  </si>
  <si>
    <t xml:space="preserve">Incluído no corpus final (S13)</t>
  </si>
  <si>
    <t xml:space="preserve">F_090</t>
  </si>
  <si>
    <t xml:space="preserve">Bases acadêmicas / BDTD / Revista do Serviço Público</t>
  </si>
  <si>
    <t xml:space="preserve">Gisele Fernanda Loesch; Ivana Carneiro Almeida; Márcio Coutinho de Souza; João Cesar de Souza Fererira (2026) DOI: 10.21874/rsp.v77i1.11257</t>
  </si>
  <si>
    <t xml:space="preserve">INTELIGÊNCIA ARTIFICIAL (IA) NO PODER JUDICIÁRIO: PANORAMA DA PRODUÇÃO ACADÊMICA BRASILEIRA (2019-2024). </t>
  </si>
  <si>
    <t xml:space="preserve">Incluído no corpus final (S26)</t>
  </si>
  <si>
    <t xml:space="preserve">F_091</t>
  </si>
  <si>
    <t xml:space="preserve">Bases acadêmicas / Escola do Poder Judiciário do Acre - Revista Jurídica</t>
  </si>
  <si>
    <t xml:space="preserve">Danniel Gustavo Bomfim Araújo da Silva (2022)</t>
  </si>
  <si>
    <t xml:space="preserve">JUSTIÇA 4.0: NOVAS TECNOLOGIAS, ANTIGAS DESIGUALDADES</t>
  </si>
  <si>
    <t xml:space="preserve">Incluído no corpus final (S2)</t>
  </si>
  <si>
    <t xml:space="preserve">F_092</t>
  </si>
  <si>
    <t xml:space="preserve">Bases acadêmicas / VIII ENPEJUD - Encontro de Pesquisas Judiciárias</t>
  </si>
  <si>
    <t xml:space="preserve">José Mateus da Silva Tenório; Kauã Vasques de Oliveira Santos (2024)</t>
  </si>
  <si>
    <t xml:space="preserve">A INTELIGÊNCIA ARTIFICIAL COMO FERRAMENTA DE IDENTIFICAÇÃO DA LITIGÂNCIA PREDATÓRIA</t>
  </si>
  <si>
    <t xml:space="preserve">Incluído no corpus final (S7)</t>
  </si>
  <si>
    <t xml:space="preserve">F_093</t>
  </si>
  <si>
    <t xml:space="preserve">Bases acadêmicas / Revista EJEF</t>
  </si>
  <si>
    <t xml:space="preserve">Alexandre Atheniense; Humberto Torres Marques-Neto (2024)</t>
  </si>
  <si>
    <t xml:space="preserve">GOVERNANÇA DA INTELIGÊNCIA ARTIFICIAL NO PODER JUDICIÁRIO BRASILEIRO: DESAFIOS REGULATÓRIOS E RISCOS DA FRAGMENTAÇÃO NORMATIVA NA ERA DIGITAL</t>
  </si>
  <si>
    <t xml:space="preserve">F_094</t>
  </si>
  <si>
    <t xml:space="preserve">Bases acadêmicas / ENAJUS - Encontro de Administração da Justiça</t>
  </si>
  <si>
    <t xml:space="preserve">João Paulo Braga Cavalcante; Flávio José Moreira Gonçalves; Flavianne Damasceno Maia; Nara Rejane Gonçalves de Araújo (2023)</t>
  </si>
  <si>
    <t xml:space="preserve">Governança e Valor Público: os Desafios à Inteligência Artificial nos Tribunais Brasileiros. </t>
  </si>
  <si>
    <t xml:space="preserve">Incluído no corpus final (S4)</t>
  </si>
  <si>
    <t xml:space="preserve">F_095</t>
  </si>
  <si>
    <t xml:space="preserve">Portal Migalhas</t>
  </si>
  <si>
    <t xml:space="preserve">Tereza Cristina Oliveira Ribeiro (2026)</t>
  </si>
  <si>
    <t xml:space="preserve">Litigância predatória e os limites da sustentabilidade do Judiciário</t>
  </si>
  <si>
    <t xml:space="preserve">F_096</t>
  </si>
  <si>
    <t xml:space="preserve">Scoups/Revista de Direito Econômico e Socioambiental</t>
  </si>
  <si>
    <t xml:space="preserve">S. Gonçalves de Carvalho; D. Mascarenhas de Queiroz Trevisan; D. Nadler Prata. 2026. DOI: 10.7213/rev.dir.econ.soc.v17i2.33848</t>
  </si>
  <si>
    <t xml:space="preserve">Algorithmic Governance in the Judiciary and its Application to Environmental Proceedings: Empirical Evidence from the CNJ and Proposition of the Operational Protocol for Algorithmic Environmental Evidence (Governança Algorítmica no Poder Judiciário e sua Aplicação aos Processos Ambientais: Evidências Empíricas do CNJ e Proposição do Protocolo Operacional de Prova Algorítmica Ambiental)</t>
  </si>
  <si>
    <t xml:space="preserve">F_210</t>
  </si>
  <si>
    <t xml:space="preserve">Charlotte S. Alexander; 2023; DOI 10.1017/9781009255301.010</t>
  </si>
  <si>
    <t xml:space="preserve">Litigation Outcome Prediction, Access to Justice, and Legal Endogeneity</t>
  </si>
  <si>
    <t xml:space="preserve">F_098</t>
  </si>
  <si>
    <t xml:space="preserve">Scopus – Revista de Direito</t>
  </si>
  <si>
    <t xml:space="preserve">G.L. Melo. 2024. DOI: 10.32361/2024160118484</t>
  </si>
  <si>
    <t xml:space="preserve">Artificial Intelligence and Adjudication: From China to Brazil (Inteligência Artificial e Prestação Jurisdicional: Da China ao Brasil)</t>
  </si>
  <si>
    <t xml:space="preserve">F_213</t>
  </si>
  <si>
    <t xml:space="preserve">Scielo</t>
  </si>
  <si>
    <t xml:space="preserve">Lucas Fucci Amato; 2020; DOI 10.1590/2317-6172201966</t>
  </si>
  <si>
    <t xml:space="preserve">Crônica sociológica de um direito precário: corrupção, constituição e instituições</t>
  </si>
  <si>
    <t xml:space="preserve">F_100</t>
  </si>
  <si>
    <t xml:space="preserve">Scopus – Revista Digital de Biblioteconomia e Ciência da Informação</t>
  </si>
  <si>
    <t xml:space="preserve">L.N. Moreira; P.N. Silva. 2025. DOI: 10.20396/rdbci.v24i00.8681945</t>
  </si>
  <si>
    <t xml:space="preserve">Institutional Repositories in Transformation: Methodological Contributions to Innovation and New Frontiers (Repositórios Institucionais em Transformação: Aportes Metodológicos para Inovação e Novas Fronteiras)</t>
  </si>
  <si>
    <t xml:space="preserve">F_215</t>
  </si>
  <si>
    <t xml:space="preserve">Wesley Maraire; 2024; DOI 10.1590/2317-6172202433</t>
  </si>
  <si>
    <t xml:space="preserve">Systemic Barriers and Unfairness: Access to Justice in Zimbabwe and Beyond</t>
  </si>
  <si>
    <t xml:space="preserve">F_102</t>
  </si>
  <si>
    <t xml:space="preserve">Scopus – Revista Brasileira de Políticas Públicas</t>
  </si>
  <si>
    <t xml:space="preserve">M.M. Ribeiro; R.R. Nunes; W.F. Giozza; A. Veronese. 2025. DOI: 10.5102/rbpp.v15i2.8643</t>
  </si>
  <si>
    <t xml:space="preserve">Risk Factors Arising Due to the Application of the Fundamental Right for the Protection of Personal Data and the LGPD in State Intelligence Activity (Fatores de Risco Decorrentes da Aplicação do Direito Fundamental à Proteção de Dados Pessoais e da LGPD na Atividade de Inteligência de Estado)</t>
  </si>
  <si>
    <t xml:space="preserve">F_103</t>
  </si>
  <si>
    <t xml:space="preserve">Scopus – Revista de Sociologia e Política</t>
  </si>
  <si>
    <t xml:space="preserve">H. Medeiros; F. Costa. 2024. DOI: 10.1590/1678-98732432e017</t>
  </si>
  <si>
    <t xml:space="preserve">Six of One, Half a Dozen of the Other? Analyzing the Similarities in Innovation Policies Across Brazilian States (Seis por Meia Dúzia? Análise das Similaridades entre as Normas de Inovação dos Estados Brasileiros)</t>
  </si>
  <si>
    <t xml:space="preserve">F_227</t>
  </si>
  <si>
    <t xml:space="preserve">André Luiz Cavalcanti Silveira; 2023; DOI 10.56256/themis.v21i1.908</t>
  </si>
  <si>
    <t xml:space="preserve">Acesso à Justiça, Demandas Repetitivas e Centros de Inteligência</t>
  </si>
  <si>
    <t xml:space="preserve">Incluído no corpus final (S3)</t>
  </si>
  <si>
    <t xml:space="preserve">F_105</t>
  </si>
  <si>
    <t xml:space="preserve">Scopus – Revista de Administração Pública (RAP)</t>
  </si>
  <si>
    <t xml:space="preserve">L.G.C. Carrara; R.R. de Azevedo; J.A. Diniz; M.E.M.C. Andrade. 2025. DOI: 10.1590/0034-761220250107x</t>
  </si>
  <si>
    <t xml:space="preserve">The Impact of Digital Infrastructure Expenditure on Accounting Information in the Public Sector (O Impacto dos Gastos com Infraestrutura Digital na Qualidade e Transparência da Informação Contábil no Setor Público)</t>
  </si>
  <si>
    <t xml:space="preserve">F_106</t>
  </si>
  <si>
    <t xml:space="preserve">C.C.A. Santos; E.R.G. Filho; J.R. Medici. 2025. DOI: 10.9732/2025.V130.1148</t>
  </si>
  <si>
    <t xml:space="preserve">The Occurrence of Fake News and Tensions Regarding the Social Support of the Superior Electoral Court (TSE) and the Federal Supreme Court (STF) (A Ocorrência de Fake News e as Tensões ao Suporte Social do Tribunal Superior Eleitoral (TSE) e do Supremo Tribunal Federal (STF))</t>
  </si>
  <si>
    <t xml:space="preserve">F_002</t>
  </si>
  <si>
    <t xml:space="preserve">web of science/IOS Press – Frontiers in Artificial Intelligence and Applications</t>
  </si>
  <si>
    <t xml:space="preserve">Loreane Brandizzi; Guilherme Rodrigues (2025)                         DOI
10.3233/FAIA251573</t>
  </si>
  <si>
    <t xml:space="preserve">JuriDiscovery: Automated Analysis of Legal Disputes Triggered by Public Policies Using Artificial Intelligence – A Case Study Applied to Individual Microentrepreneurs</t>
  </si>
  <si>
    <t xml:space="preserve">Incluído no corpus final (S12)</t>
  </si>
  <si>
    <t xml:space="preserve">F_108</t>
  </si>
  <si>
    <t xml:space="preserve">Scopus – Proceedings of the 34th Annual Conference of the European Association for Education in Electrical and Information Engineering (EAEEIE 2025)</t>
  </si>
  <si>
    <t xml:space="preserve">A. Araujo; R. Nascimento; D. Barone; H. Lindemann; E.M.P. Daniel. 2025. DOI: 10.1109/EAEEIE65428.2025.11136728</t>
  </si>
  <si>
    <t xml:space="preserve">Engineering and Refugees: The Impact of YouTube on the Training and Entrepreneurship of Refugee Engineers in Brazil (Engenharia e Refugiados: O Impacto do YouTube na Capacitação e no Empreendedorismo de Engenheiros Refugiados no Brasil)</t>
  </si>
  <si>
    <t xml:space="preserve">F_109</t>
  </si>
  <si>
    <t xml:space="preserve">Scopus – Applied Ontology</t>
  </si>
  <si>
    <t xml:space="preserve">C. Mário de Oliveira Rodrigues; C. Bezerra; F. Freitas; I. Oliveira. 2020. DOI: 10.3233/AO-200223</t>
  </si>
  <si>
    <t xml:space="preserve">Handling Crimes of Omission by Reconciling a Criminal Core Ontology with UFO (Tratando Crimes Omissivos por meio da Integração entre uma Ontologia Criminal Central e a Ontologia Fundamental UFO)</t>
  </si>
  <si>
    <t xml:space="preserve">F_110</t>
  </si>
  <si>
    <t xml:space="preserve">Scopus – AMCIS 2023</t>
  </si>
  <si>
    <t xml:space="preserve">C.M.C. Rocha; J.Á. Carvalho; A.H.G. Suxberger. 2023.    https://www.scopus.com/pages/publications/85192937287?origin=resultslist</t>
  </si>
  <si>
    <t xml:space="preserve">Impact of Court's Case Management Systems: Perspectives on Efficiency (Impacto dos Sistemas de Gestão Processual dos Tribunais: Perspectivas sobre Eficiência)</t>
  </si>
  <si>
    <t xml:space="preserve">F_007</t>
  </si>
  <si>
    <t xml:space="preserve">web of science/Revista de Investigações Constitucionais, [S. l.], v. 10, n. 2, p. e252, 2023</t>
  </si>
  <si>
    <t xml:space="preserve">VALLE, Vivian Cristina Lima López; FUENTES I GASÓ, Josep Ramón; AJUS, Attílio Martins. DOI: https://doi.org/10.5380/rinc.v10i2.92598</t>
  </si>
  <si>
    <t xml:space="preserve">Judicial decision-making assisted by artificial intelligence and the Victor System of the Brazilian Federal Supreme Court (Decisão judicial assistida por inteligência artificial e o Sistema Victor do Supremo Tribunal Federal)</t>
  </si>
  <si>
    <t xml:space="preserve">F_112</t>
  </si>
  <si>
    <t xml:space="preserve">Scopus – Artificial Intelligence and Law</t>
  </si>
  <si>
    <t xml:space="preserve">T. Araújo; D. Carmo; R. Lima; A. Oliveira. 2025. DOI: 10.1007/s10506-025-09481-7</t>
  </si>
  <si>
    <t xml:space="preserve">Trace Clustering for Judicial Process Simplification: Identifying Patterns and Enhancing Analysis (Agrupamento de Trilhas para Simplificação de Processos Judiciais: Identificação de Padrões e Aprimoramento da Análise)</t>
  </si>
  <si>
    <t xml:space="preserve">F_113</t>
  </si>
  <si>
    <t xml:space="preserve">Scopus – Revista Eletrônica de Direito Processual</t>
  </si>
  <si>
    <t xml:space="preserve">M.V. Franco; G.C. Leroy. 2025. DOI: 10.12957/redp.2025.91581</t>
  </si>
  <si>
    <t xml:space="preserve">Procedural Good Faith and Abuse of the Right of Action: Procedural Harassment Defined by the Superior Court of Justice and Other Foreign Modalities of Procedural Wrongdoings (Boa-fé Processual e Abuso do Direito de Ação: O Assédio Processual Definido pelo Superior Tribunal de Justiça e Outras Modalidades Estrangeiras de Ilícito Processual)</t>
  </si>
  <si>
    <t xml:space="preserve">F_218</t>
  </si>
  <si>
    <t xml:space="preserve">web of science/ Yale Law Journal</t>
  </si>
  <si>
    <t xml:space="preserve">L.D. Simon. 2022.WOS:000763574800002/ISSN 0044-0094</t>
  </si>
  <si>
    <t xml:space="preserve">Bankruptcy Grifters (Aproveitadores da Recuperação Judicial/Falimentar)</t>
  </si>
  <si>
    <t xml:space="preserve">F_012</t>
  </si>
  <si>
    <t xml:space="preserve">web of science / 
REVISTA ACADEMICA DA FACULDADE DE DIREITO DO RECIFE
</t>
  </si>
  <si>
    <t xml:space="preserve">Lavinya Almeida; Sérgio Torres Teixeira (2024)   DOI
10.51359/2448-2307.2024.262369</t>
  </si>
  <si>
    <t xml:space="preserve">Artificial Intelligence: Discriminatory aspects of automation and the possibility of reviewing automated decisions (Inteligência Artificial: Aspectos discriminatórios da automatização e a possibilidade de revisão das decisões automatizadas)</t>
  </si>
  <si>
    <t xml:space="preserve">F_115</t>
  </si>
  <si>
    <t xml:space="preserve">Web of Science – Texas Law Review</t>
  </si>
  <si>
    <t xml:space="preserve">M.A. Francus. 2024    WOS:001269091500002/ISSN0040-4411</t>
  </si>
  <si>
    <t xml:space="preserve">Designing Designer Bankruptcy (Projetando as Falências Estruturadas)</t>
  </si>
  <si>
    <t xml:space="preserve">F_116</t>
  </si>
  <si>
    <t xml:space="preserve">Web of Science – University of Chicago Law Review</t>
  </si>
  <si>
    <t xml:space="preserve">A.J. Casey; J.C. Macey. 2023./WOS:000991678300004/ISSN 0041-9494</t>
  </si>
  <si>
    <t xml:space="preserve">In Defense of Chapter 11 for Mass Torts (Em Defesa do Capítulo 11 para Litígios de Massa)</t>
  </si>
  <si>
    <t xml:space="preserve">F_013</t>
  </si>
  <si>
    <t xml:space="preserve">web of science/ Revista Científica da Universidade de Formiga – UNIFOR/MG (2024)</t>
  </si>
  <si>
    <t xml:space="preserve">Altier Resende de Alvarenga; Henrique Abi-Ackel Torres (2024)       DOI 10.24862/rcdu.v15i2.2101</t>
  </si>
  <si>
    <t xml:space="preserve">A Implementação de Novas Tecnologias na Justiça Brasileira: Direitos Fundamentais do Acusado e Aceleração do Processo Penal</t>
  </si>
  <si>
    <t xml:space="preserve">F_118</t>
  </si>
  <si>
    <t xml:space="preserve">Web of Science – ICON: International Journal of Constitutional Law</t>
  </si>
  <si>
    <t xml:space="preserve">K. Starr. 2020. DOI: 10.1093/icon/moaa064</t>
  </si>
  <si>
    <t xml:space="preserve">To Have and to Hold: Emotional Distress, Divorce Denial, and the Politics of Interspousal Torts (Até que a Morte os Separe: Sofrimento Emocional, Negativa do Divórcio e a Política dos Ilícitos Civis entre Cônjuges)</t>
  </si>
  <si>
    <t xml:space="preserve">F_017</t>
  </si>
  <si>
    <t xml:space="preserve">web of science/ Journal of Business Economics and Management (2021)</t>
  </si>
  <si>
    <t xml:space="preserve">Xiaoxiao Zheng; Yisheng Liu; Jun Jiang; Linda M. Thomas; Nan Su (2021)   DOI
10.3846/jbem.2021.13219</t>
  </si>
  <si>
    <t xml:space="preserve">Prediction of Litigation Outcome in PPP Project Disputes Between Public Authority and Private Partner Using an Ensemble Model (Previsão do Resultado de Litígios em Disputas de Projetos de Parceria Público-Privada entre Autoridade Pública e Parceiro Privado Utilizando um Modelo de Conjunto)</t>
  </si>
  <si>
    <t xml:space="preserve">F_120</t>
  </si>
  <si>
    <t xml:space="preserve">Web of Science (WOS) – Vestnik of Saint Petersburg University – Law</t>
  </si>
  <si>
    <t xml:space="preserve">D.V. Kniazev. 2021. DOI: 10.21638/spbu14.2021.313.</t>
  </si>
  <si>
    <t xml:space="preserve">Payment for Legal Services in the USA Civil Procedure: Contingent Fee, American Rule and Their Impact on the Judicial Caseload (Remuneração de Serviços Jurídicos no Processo Civil dos Estados Unidos: Honorários de Êxito, Regra Americana e seus Impactos sobre a Carga de Trabalho do Judiciário)</t>
  </si>
  <si>
    <t xml:space="preserve">F_121</t>
  </si>
  <si>
    <t xml:space="preserve">Web of Science — Artificial Intelligence and Law</t>
  </si>
  <si>
    <t xml:space="preserve">F. Di Porto.2023/DOI:10.1007/s10506-021-09302-7</t>
  </si>
  <si>
    <t xml:space="preserve">Algorithmic Disclosure Rules(Regras Algorítmicas de Divulgação )</t>
  </si>
  <si>
    <t xml:space="preserve">F_122</t>
  </si>
  <si>
    <t xml:space="preserve">Web of Science / Proceedings of the 2025 Symposium on Computer Science and Law (CS&amp;LAW 2025)</t>
  </si>
  <si>
    <t xml:space="preserve">M. Xiao; A. Sellars; S. Scheffler (2025). DOI: 10.1145/3709025.3712206</t>
  </si>
  <si>
    <t xml:space="preserve">When Anti-Fraud Laws Become a Barrier to Computer Science Research (Quando as Leis Antifraude se Tornam um Obstáculo à Pesquisa em Ciência da Computação)</t>
  </si>
  <si>
    <t xml:space="preserve">F_022</t>
  </si>
  <si>
    <t xml:space="preserve">Scopus e Web of Science (WoS).</t>
  </si>
  <si>
    <t xml:space="preserve">Stijn Van Ruymbeke; Joke Baeck; Klaas Mulier; Thomas Demeester. 2026. DOI: 10.1080/13600834.2026.2644818.</t>
  </si>
  <si>
    <t xml:space="preserve">Artificial Intelligence in the Judiciary: A Systematic Literature Review on the Practical Applications ( Inteligência artificial no poder judiciário: uma revisão sistemática
da literatura sobre as aplicações práticas)</t>
  </si>
  <si>
    <t xml:space="preserve">F_124</t>
  </si>
  <si>
    <t xml:space="preserve">Web of Science – TalTech Journal of European Studies</t>
  </si>
  <si>
    <t xml:space="preserve">I. Burduli; N. Chitashvili. 2024. DOI: 10.2478/bjes-2024-0001</t>
  </si>
  <si>
    <t xml:space="preserve">Corporate Legal Dogmatics on the Revocation of Share Donation Due to Breach of the Duty of Loyalty (Dogmática Jurídico-Societária sobre a Revogação da Doação de Participações Societárias em Razão da Violação do Dever de Lealdade)</t>
  </si>
  <si>
    <t xml:space="preserve">F_052</t>
  </si>
  <si>
    <t xml:space="preserve">web of science/Language Resources and Evaluation</t>
  </si>
  <si>
    <t xml:space="preserve">Erjavec et al.; 2023; 10.1007/s10579-021-09574-0</t>
  </si>
  <si>
    <t xml:space="preserve">The ParlaMint corpora of parliamentary proceedings</t>
  </si>
  <si>
    <t xml:space="preserve">F_126</t>
  </si>
  <si>
    <t xml:space="preserve">Web of Science – Revista Jurídica Portucalense</t>
  </si>
  <si>
    <t xml:space="preserve">F.W.D. Dantas; G.F. Braz. 2022. DOI: 10.34625/issn.2183-2705(ne2v2)2022.ic-04</t>
  </si>
  <si>
    <t xml:space="preserve">Artificial Intelligence in Brazilian Judicial Branch (Inteligência Artificial no Poder Judiciário Brasileiro)</t>
  </si>
  <si>
    <t xml:space="preserve">F_127</t>
  </si>
  <si>
    <t xml:space="preserve">Web of Science – Revista de Investigações Constitucionais – Journal of Constitutional Research</t>
  </si>
  <si>
    <t xml:space="preserve">C.M. Bitencourt; L.H.N. Martins. 2023. DOI: 10.5380/rinc.v10i3.93650</t>
  </si>
  <si>
    <t xml:space="preserve">Artificial Intelligence in the Constitutional Accounting Control Bodies of Brazilian Public Administration (Inteligência Artificial nos Órgãos Constitucionais de Controle de Contas da Administração Pública Brasileira)</t>
  </si>
  <si>
    <t xml:space="preserve">F_128</t>
  </si>
  <si>
    <t xml:space="preserve">Web of Science – Intelligent Systems – BRACIS 2023</t>
  </si>
  <si>
    <t xml:space="preserve">N.A. Valentim; F.A. Dorça; V.P. Asnis; N.C. Elias. 2023. DOI: 10.1007/978-3-031-45368-7_20</t>
  </si>
  <si>
    <t xml:space="preserve">The Artificial Intelligence as a Technological Resource in the Application of Tasks for the Development of Joint Attention in Children with Autism (A Inteligência Artificial como Recurso Tecnológico na Aplicação de Tarefas para o Desenvolvimento da Atenção Compartilhada em Crianças com Autismo)</t>
  </si>
  <si>
    <t xml:space="preserve">F_054</t>
  </si>
  <si>
    <t xml:space="preserve">web of science/JURIX 2025</t>
  </si>
  <si>
    <t xml:space="preserve">I. Sabo; T. Dal Pont; A. Rover; J. Hubner; 2025; DOI: 10.3233/FAIA251586</t>
  </si>
  <si>
    <t xml:space="preserve">Machine Learning to Promote Self-Composition in Conflict Resolution: The Brazilian Concil-IA Project — Aprendizado de Máquina para promover autocomposição na resolução de conflitos: Projeto brasileiro Concil-IA</t>
  </si>
  <si>
    <t xml:space="preserve">F_130</t>
  </si>
  <si>
    <t xml:space="preserve">Scopus / Revista Opinião Jurídica (Opinion Juridica)</t>
  </si>
  <si>
    <t xml:space="preserve">I.C. Sabo; A.J. Rover (2020). DOI: 10.12662/2447-6641oj.v18i28.p69-93.2020</t>
  </si>
  <si>
    <t xml:space="preserve">Compliance to Legal Precedents and Repetitive Legal Cases Management with Machine Learning (Observância de Precedentes e Gestão de Demandas Repetitivas por meio do Aprendizado de Máquina)</t>
  </si>
  <si>
    <t xml:space="preserve">F_131</t>
  </si>
  <si>
    <t xml:space="preserve">H.D.B. de Pinho; M.G. Dutra (2025). DOI: 10.12957/redp.2025.89763</t>
  </si>
  <si>
    <t xml:space="preserve">Investment Decision, Legal Security and Mandatory Precedents System in Brazilian Civil Procedure (Decisão de Investimento, Segurança Jurídica e Sistema de Precedentes Obrigatórios no Processo Civil Brasileiro)</t>
  </si>
  <si>
    <t xml:space="preserve">F_132</t>
  </si>
  <si>
    <t xml:space="preserve">A.C. Salles; M.S. Cruz (2022). DOI: 10.22395/ojum.v21n46a6</t>
  </si>
  <si>
    <t xml:space="preserve">Jurisdiction and Artificial Intelligence: Reflections and Some Applications in Brazilian Courts (Jurisdição e Inteligência Artificial: Reflexões e Algumas Aplicações nos Tribunais Brasileiros)</t>
  </si>
  <si>
    <t xml:space="preserve">F_064</t>
  </si>
  <si>
    <t xml:space="preserve">C. Toledo; D. Pessoa; 2023. DOI: 10.5380/rinc.v10i1.86319</t>
  </si>
  <si>
    <t xml:space="preserve">The Use of Artificial Intelligence in Judicial Decision Making (O Uso da Inteligência Artificial na Tomada de Decisão Judicial)</t>
  </si>
  <si>
    <t xml:space="preserve">F_135</t>
  </si>
  <si>
    <t xml:space="preserve">Scopus / Zenodo (2024)</t>
  </si>
  <si>
    <t xml:space="preserve">L. Câmara; G. Guimarães (2024). DOI: 10.5281/zenodo.13926000</t>
  </si>
  <si>
    <t xml:space="preserve">Innovation and the Use of Artificial Intelligence in the Brazilian Judiciary (Inovação e o Uso da Inteligência Artificial no Poder Judiciário Brasileiro)</t>
  </si>
  <si>
    <t xml:space="preserve">F_136</t>
  </si>
  <si>
    <t xml:space="preserve">Scopus / Revista Opinião Jurídica (Opinion Juridica),</t>
  </si>
  <si>
    <t xml:space="preserve">Fernandes; Oliveira (2021). DOI: 10.12662/2447-6641oj.v19i30.p91-117.2021</t>
  </si>
  <si>
    <t xml:space="preserve">The Regulation of Disruptive Decisions in Brazilian Judicial Power: Reflections on the Artificial Judge (A Regulação das Decisões Disruptivas no Poder Judiciário Brasileiro: Reflexões sobre o Juiz Artificial)</t>
  </si>
  <si>
    <t xml:space="preserve">Incluído no corpus final (S1)</t>
  </si>
  <si>
    <t xml:space="preserve">F_065</t>
  </si>
  <si>
    <t xml:space="preserve">web of science/ German Law Journal</t>
  </si>
  <si>
    <t xml:space="preserve">C. K. Winter; 2020. DOI: 10.1017/glj.2020.3</t>
  </si>
  <si>
    <t xml:space="preserve">The Value of Behavioral Economics for EU Judicial Decision-Making (O Valor da Economia Comportamental para a Tomada de Decisão Judicial na União Europeia)</t>
  </si>
  <si>
    <t xml:space="preserve">Essencial - excluído por pertinência temática (leitura integral)</t>
  </si>
  <si>
    <t xml:space="preserve">F_138</t>
  </si>
  <si>
    <t xml:space="preserve">de Quadros; Isaia (2026). DOI: 10.12957/redp.2026.93760</t>
  </si>
  <si>
    <t xml:space="preserve">Was Effectiveness Only a Promise? Reflections on the Brazilian System of Binding Precedents (A Efetividade Foi Apenas uma Promessa? Reflexões sobre o Sistema Brasileiro de Precedentes Vinculantes)</t>
  </si>
  <si>
    <t xml:space="preserve">F_068</t>
  </si>
  <si>
    <t xml:space="preserve">web of science/Revista Brasileira de Direito Processual Penal</t>
  </si>
  <si>
    <t xml:space="preserve">M.E.A. Amaral; A.T. Bruni. 2023. DOI: 10.22197/rbdpp.v9i2.819</t>
  </si>
  <si>
    <t xml:space="preserve">Forensic Evidence in Criminal Procedure: the Comprehension and Mitigation of Forensic Errors as a Mechanism to Promote the Adversarial Principle, the Full Defense and the Right to Legal Evidence (Prova Pericial no Processo Penal: A Compreensão e Mitigação dos Erros Forenses como Mecanismo de Promoção do Contraditório, da Ampla Defesa e do Direito à Prova Lícita)</t>
  </si>
  <si>
    <t xml:space="preserve">F_140</t>
  </si>
  <si>
    <t xml:space="preserve">Scopus / Cadernos de Dereito Actual</t>
  </si>
  <si>
    <t xml:space="preserve">M.B.M. Clementino; L.J.B. Pinto (2024). DOI: 10.5281/zenodo.13822575</t>
  </si>
  <si>
    <t xml:space="preserve">Predatory Litigation: Between Access to Justice and Systematic Abuses of the Right to Due Process (Litigância Predatória: Entre o Acesso à Justiça e os Abusos Sistemáticos do Direito ao Processo)</t>
  </si>
  <si>
    <t xml:space="preserve">Incluído no corpus final (S8)</t>
  </si>
  <si>
    <t xml:space="preserve">F_076</t>
  </si>
  <si>
    <t xml:space="preserve">M.D. de Andrade; L.G. Girão. 2024. DOI: 10.12957/rqi.2024.77116</t>
  </si>
  <si>
    <t xml:space="preserve">Justice 4.0: The Use of Digital Judge in Less Complex Issues Administration (Justiça 4.0: O Uso do Juiz Digital na Administração de Questões de Menor Complexidade)</t>
  </si>
  <si>
    <t xml:space="preserve">F_144</t>
  </si>
  <si>
    <t xml:space="preserve">Google Scholar / Revista Eletrônica de Direito Processual (2025)</t>
  </si>
  <si>
    <t xml:space="preserve">Ewerton Luiz Chaves Carminati (2025). DOI: 10.12957/redp.2025</t>
  </si>
  <si>
    <t xml:space="preserve">Uso de Inteligência Artificial para Detecção de Litigância Abusiva: Desafios Decorrentes do Risco de Enviesamento Discriminatório</t>
  </si>
  <si>
    <t xml:space="preserve">Incluído no corpus final (S14)</t>
  </si>
  <si>
    <t xml:space="preserve">F_145</t>
  </si>
  <si>
    <t xml:space="preserve">Google Scholar / Anais do IX ENPEJUD (2025)</t>
  </si>
  <si>
    <t xml:space="preserve">Laura Cavalcante Barbosa; Angélica Cristina Bezerra de Melo; Valkíria Malta Gaia Ferreira; Maria Izabel Ferreira dos Santos (2025).</t>
  </si>
  <si>
    <t xml:space="preserve">O Uso da Inteligência Artificial no Combate à Litigância Abusiva: Experiências do Tribunal de Justiça de Alagoas (TJAL)</t>
  </si>
  <si>
    <t xml:space="preserve">Incluído no corpus final (S15)</t>
  </si>
  <si>
    <t xml:space="preserve">F_146</t>
  </si>
  <si>
    <t xml:space="preserve">Web of Science Core Collection / Electronic Government (EGOV 2020)</t>
  </si>
  <si>
    <t xml:space="preserve">G. Misuraca; G. Viscusi (2020). DOI: 10.1007/978-3-030-57599-1_9</t>
  </si>
  <si>
    <t xml:space="preserve">AI-Enabled Innovation in the Public Sector: A Framework for Digital Governance and Resilience ( Inovação Impulsionada por IA no Setor Público: Uma Estrutura para Governança Digital e Resiliência)</t>
  </si>
  <si>
    <t xml:space="preserve">F_147</t>
  </si>
  <si>
    <t xml:space="preserve">Web of Science Core Collection / IEEE Access</t>
  </si>
  <si>
    <t xml:space="preserve">V. Malik; R. Mittal; D. Mavaluru; B. R. Narapureddy; S. B. Goyal; R. J. Martin; K. Srinivasan; A. Mittal (2023). DOI: 10.1109/ACCESS.2023.3293529</t>
  </si>
  <si>
    <t xml:space="preserve">Building a Secure Platform for Digital Governance Interoperability and Data Exchange Using Blockchain and Deep Learning-Based Frameworks ( Construção de uma plataforma segura para interoperabilidade de governança digital e troca de dados utilizando blockchain e frameworks baseados em aprendizado profundo)</t>
  </si>
  <si>
    <t xml:space="preserve">F_148</t>
  </si>
  <si>
    <t xml:space="preserve">Web of Science Core Collection / Research Handbook on Judicial Politics</t>
  </si>
  <si>
    <t xml:space="preserve">G. A. C. Ramos; J. R. Figueroa (2024). DOI: 10.4337/9781035309320</t>
  </si>
  <si>
    <t xml:space="preserve">Comparative judicial governance ( Governança Judicial Comparada)</t>
  </si>
  <si>
    <t xml:space="preserve">F_149</t>
  </si>
  <si>
    <t xml:space="preserve">Web of Science Core Collection / Financial Internet Quarterly</t>
  </si>
  <si>
    <t xml:space="preserve">S. Pande; A. Chandani; S. Wagholikar (2025). DOI: 10.2478/fiqf-2025-0005</t>
  </si>
  <si>
    <t xml:space="preserve">Digital governance across whole-of-the-government: Opportunities and challenges ( Governança digital em toda a administração pública: oportunidades e desafios)</t>
  </si>
  <si>
    <t xml:space="preserve">F_150</t>
  </si>
  <si>
    <t xml:space="preserve">Web of Science Core Collection / ICEGOV 2020</t>
  </si>
  <si>
    <t xml:space="preserve">A. S. L. da Silva; A. A. Teixeira (2020). DOI: 10.1145/3428502.3428554</t>
  </si>
  <si>
    <t xml:space="preserve">Digital governance assessment from the conceptualization of information infrastructures (Avaliação da governança digital a partir da conceituação de infraestruturas de informação)</t>
  </si>
  <si>
    <t xml:space="preserve">F_151</t>
  </si>
  <si>
    <t xml:space="preserve">Web of Science Core Collection / PLOS ONE</t>
  </si>
  <si>
    <t xml:space="preserve">Y. X. Zhao; Z. Z. Du (2025). DOI: 10.1371/journal.pone.0338630</t>
  </si>
  <si>
    <t xml:space="preserve">Digital governance, anti-corruption and political stability: An empirical study using cross-national panel data ( Governança digital, combate à corrupção e estabilidade política: um estudo empírico utilizando dados em painel transnacionais)</t>
  </si>
  <si>
    <t xml:space="preserve">F_152</t>
  </si>
  <si>
    <t xml:space="preserve">Web of Science Core Collection / Public Administration Review</t>
  </si>
  <si>
    <t xml:space="preserve">G. Vissoky; E. Vigoda-Gadot; E. M. Styrin (2026). DOI: 10.1111/puar.70125</t>
  </si>
  <si>
    <t xml:space="preserve">Digital Sentiments: Toward a Theory of Emotions in Digital Governance ( Sentimentos Digitais: Rumo a uma Teoria das Emoções na Governança Digital)</t>
  </si>
  <si>
    <t xml:space="preserve">F_153</t>
  </si>
  <si>
    <t xml:space="preserve">Web of Science Core Collection / International Journal of Accounting Information Systems</t>
  </si>
  <si>
    <t xml:space="preserve">W. Shi; Z. L. Zhang (2025). DOI: 10.1016/j.accinf.2025.100756</t>
  </si>
  <si>
    <t xml:space="preserve">Exploring the role of digital governance: The effect of audit digitalization on firms' internal control weaknesses in China ( Explorando o papel da governança digital: o efeito da digitalização da auditoria nas fragilidades de controle interno das empresas na China)</t>
  </si>
  <si>
    <t xml:space="preserve">F_154</t>
  </si>
  <si>
    <t xml:space="preserve">Web of Science Core Collection / Global Public Policy and Governance</t>
  </si>
  <si>
    <t xml:space="preserve">K. Jia; S. W. Chen (2022). DOI: 10.1007/s43508-022-00047-w</t>
  </si>
  <si>
    <t xml:space="preserve">Global digital governance: paradigm shift and an analytical framework ( Governança digital global: mudança de paradigma e uma estrutura analítica)</t>
  </si>
  <si>
    <t xml:space="preserve">F_155</t>
  </si>
  <si>
    <t xml:space="preserve">Web of Science Core Collection / Administração Pública e Gestão Social</t>
  </si>
  <si>
    <t xml:space="preserve">E. Luciano; F. Santos; G. C. Wiedenhöft; R. da Silva (2024). DOI: Não informado pelo estudo.</t>
  </si>
  <si>
    <t xml:space="preserve">Identifying Barriers to the Adoption of the Brazilian Digital Governance Policy and the Role of Collaborative Governance ( Identificação de Barreiras à Adoção da Política de Governança Digital Brasileira e o Papel da Governança Colaborativa)</t>
  </si>
  <si>
    <t xml:space="preserve">F_156</t>
  </si>
  <si>
    <t xml:space="preserve">Web of Science Core Collection / Contemporary Italian Politics</t>
  </si>
  <si>
    <t xml:space="preserve">C. Dallara; G. Vecchi; D. Cavallini; M. Di Giulio (2024). DOI: 10.1080/23248823.2023.2289728</t>
  </si>
  <si>
    <t xml:space="preserve">Implementing NRRP policies and the interest groups perspective in the justice sector: the "Ufficio per il processo" reform ( A implementação das políticas do NRRP e a perspectiva dos grupos de interesse no setor de justiça: a reforma do "Ufficio per il processo")</t>
  </si>
  <si>
    <t xml:space="preserve">F_157</t>
  </si>
  <si>
    <t xml:space="preserve">Web of Science Core Collection / Regulation &amp; Governance</t>
  </si>
  <si>
    <t xml:space="preserve">K. Sipulová; S. Spác; D. Kosar; T. Papousková; V. Derka (2022). DOI: 10.1111/rego.12453</t>
  </si>
  <si>
    <t xml:space="preserve">Judicial Self-Governance Index: Towards better understanding of the role of judges in governing the judiciary ( Índice de Autogoverno Judicial: Rumo a uma melhor compreensão do papel dos juízes na gestão do Poder Judiciário)</t>
  </si>
  <si>
    <t xml:space="preserve">F_160</t>
  </si>
  <si>
    <t xml:space="preserve">Web of Science Core Collection / ICEGOV 2021</t>
  </si>
  <si>
    <t xml:space="preserve">A. S. L. da Silva; A. A. Teixeira; T. C. R. Cavalcanti (2021). DOI: 10.1145/3494193.3494298</t>
  </si>
  <si>
    <t xml:space="preserve">The Digital Divide and the Smart Digital Governance in Brazil: Tensions between the skills of multiple policy areas and the needs of society ( A exclusão digital e a governança digital inteligente no Brasil: tensões entre as competências de múltiplas áreas de políticas públicas e as necessidades da sociedade)</t>
  </si>
  <si>
    <t xml:space="preserve">F_161</t>
  </si>
  <si>
    <t xml:space="preserve">Web of Science Core Collection / Applied Economics</t>
  </si>
  <si>
    <t xml:space="preserve">N. G. Elbahnasawy; A. R. Osmani; T. M. Shaughnessy (2026). DOI: 10.1080/00036846.2025.2482241</t>
  </si>
  <si>
    <t xml:space="preserve">The role of digital governance instruments and internet usage on government stability and regime durability ( O papel dos instrumentos de governança digital e do uso da internet na estabilidade governamental e na durabilidade do regime)</t>
  </si>
  <si>
    <t xml:space="preserve">F_162</t>
  </si>
  <si>
    <t xml:space="preserve">Web of Science Core Collection / Information Polity</t>
  </si>
  <si>
    <t xml:space="preserve">E. Ruijer; M. Brinkhuis; W. Hassink (2026). DOI: 10.1177/15701255251406770</t>
  </si>
  <si>
    <t xml:space="preserve">Towards a Framework for Digital Governance Curricula: What Skills and Knowledge do Governance Students Need? ( Rumo a uma Estrutura para Currículos de Governança Digital: Quais Competências e Conhecimentos os Estudantes de Governança Precisam?)</t>
  </si>
  <si>
    <t xml:space="preserve">F_163</t>
  </si>
  <si>
    <t xml:space="preserve">Web of Science Core Collection / Electronic Participation (ePart 2025)</t>
  </si>
  <si>
    <t xml:space="preserve">T. Barbereau; L. Weigl; A. F. van Veenstra (2026). DOI: 10.1007/978-3-032-02515-9_10</t>
  </si>
  <si>
    <t xml:space="preserve">Untangling the Digital Governance Landscape of the European Union: A Framework and Application to Digital Technologies ( Desvendando o Cenário da Governança Digital da União Europeia: Uma Estrutura e sua Aplicação a Tecnologias Digitais)</t>
  </si>
  <si>
    <t xml:space="preserve">F_164</t>
  </si>
  <si>
    <t xml:space="preserve">Web of Science Core Collection / Revista Direito GV</t>
  </si>
  <si>
    <t xml:space="preserve">R. L. da Costa; F. C. Lunardi; T. D. Guimaraes (2026). DOI: 10.1590/2317-6172202614</t>
  </si>
  <si>
    <t xml:space="preserve">Virtual Hearings, Efficiency, and Access to Justice: A Lawyers' Perception Survey ( Audiências Virtuais, Eficiência e Acesso à Justiça: Uma Pesquisa sobre a Percepção dos Advogados)</t>
  </si>
  <si>
    <t xml:space="preserve">F_167</t>
  </si>
  <si>
    <t xml:space="preserve">Google Scholar / Dissertação de Mestrado Profissional (Universidade Federal do Tocantins – UFT / Escola Superior da Magistratura Tocantinense – ESMAT)</t>
  </si>
  <si>
    <t xml:space="preserve">Wallyson Lemos dos Reis Oliveira (2025). DOI: Não informado pelo estudo.</t>
  </si>
  <si>
    <t xml:space="preserve">Litigância Predatória (Abusiva) e a Atuação do Centro de Inteligência do Tribunal de Justiça do Tocantins: Análise Interdisciplinar e Proposta de Protocolo para Combater esse Fenômeno</t>
  </si>
  <si>
    <t xml:space="preserve">Incluído no corpus final (S16)</t>
  </si>
  <si>
    <t xml:space="preserve">F_168</t>
  </si>
  <si>
    <t xml:space="preserve">Scopus / Asian Journal of Law and Society
 https://www.cambridge.org/core/journals/asian-journal-of-law-and-society/article/an-artificialintelligencebased-semantic-assist-framework-for-judicial-trials/0FEA3BAA82EAAB8F7368DFC0A4909DF7</t>
  </si>
  <si>
    <t xml:space="preserve">Yaohui Jin; Hao He (2020/2021)
 DOI: 10.1017/als.2020.33</t>
  </si>
  <si>
    <t xml:space="preserve">An Artificial-Intelligence-Based Semantic Assist Framework for Judicial Trials ( Uma estrutura de assistência semântica baseada em inteligência artificial para julgamentos judiciais)</t>
  </si>
  <si>
    <t xml:space="preserve">F_169</t>
  </si>
  <si>
    <t xml:space="preserve">Scopus / Artificial Intelligence and Law
 https://link.springer.com/article/10.1007/s10506-021-09294-4</t>
  </si>
  <si>
    <t xml:space="preserve">Stanley Greenstein (2021/2022)
 DOI: 10.1007/s10506-021-09294-4</t>
  </si>
  <si>
    <t xml:space="preserve">Preserving the Rule of Law in the Era of Artificial Intelligence (AI) ( Preservando o Estado de Direito na Era da Inteligência Artificial (IA))</t>
  </si>
  <si>
    <t xml:space="preserve">F_171</t>
  </si>
  <si>
    <t xml:space="preserve">Google Scholar / ACM Ubiquity / https://doi.org/10.1145/3816422</t>
  </si>
  <si>
    <t xml:space="preserve">Damien Charlotin (2026). DOI: 10.1145/3816422</t>
  </si>
  <si>
    <t xml:space="preserve">Legal Applications of Artificial Intelligence ( Aplicações legais da inteligência artificial)</t>
  </si>
  <si>
    <t xml:space="preserve">F_084</t>
  </si>
  <si>
    <t xml:space="preserve">web of science/Mexican Law Review</t>
  </si>
  <si>
    <t xml:space="preserve">T. Limberger; D.B.D. Giannakos; M.M. Szinvelski. 2022. WOS:000743893500003(ISSN 1870-0578)</t>
  </si>
  <si>
    <t xml:space="preserve">Can Judges Be Replaced by Machines? The Brazilian Case (Juízes Podem Ser Substituídos por Máquinas? O Caso Brasileiro)</t>
  </si>
  <si>
    <t xml:space="preserve">F_173</t>
  </si>
  <si>
    <t xml:space="preserve">Google Scholar / arXiv / https://doi.org/10.48550/arXiv.2401.10896</t>
  </si>
  <si>
    <t xml:space="preserve">Amna Batool; Didar Zowghi; Muneera Bano (2023/2024). DOI: 10.48550/arXiv.2401.10896</t>
  </si>
  <si>
    <t xml:space="preserve">Responsible AI Governance: A Systematic Literature Review ( Governança responsável da IA: uma revisão sistemática da literatura.)</t>
  </si>
  <si>
    <t xml:space="preserve">2ª revisão (sem 3ª avaliação registrada)</t>
  </si>
  <si>
    <t xml:space="preserve">F_174</t>
  </si>
  <si>
    <t xml:space="preserve">Google Scholar / Journal of Computer Science and Technology / https://doi.org/10.24215/16666038.25.e03</t>
  </si>
  <si>
    <t xml:space="preserve">Juan Eduardo D’Alotto; Claudia Pons; Rubén Leandro Antonelli (2025). DOI: 10.24215/16666038.25.e03</t>
  </si>
  <si>
    <t xml:space="preserve">Artificial Intelligence Applied in Legal Information: A Systematic Mapping Study</t>
  </si>
  <si>
    <t xml:space="preserve">F_175</t>
  </si>
  <si>
    <t xml:space="preserve">Web of Science Nextgen (Canadian Journal of Law and Society)</t>
  </si>
  <si>
    <t xml:space="preserve">Sandrine Prom Tep; Florence Millerand; Alexandra Parada (2023). DOI: 10.1017/cls.2023.14</t>
  </si>
  <si>
    <t xml:space="preserve">Access to justice and digital inclusion: beyond technological issues</t>
  </si>
  <si>
    <t xml:space="preserve">F_176</t>
  </si>
  <si>
    <t xml:space="preserve">Web of Science / Clarivate Analytics (Onati Socio-Legal Series)</t>
  </si>
  <si>
    <t xml:space="preserve">Asbjørn Storgaard (2023). DOI: 10.35295/OSLS.IISL/0000-0000-0000-1352</t>
  </si>
  <si>
    <t xml:space="preserve">Access to justice research: On the way to a broader perspective</t>
  </si>
  <si>
    <t xml:space="preserve">F_097</t>
  </si>
  <si>
    <t xml:space="preserve">S.A.F.A. Serpa; M. Guerra; A.O. Gonçalves. 2025. DOI: 10.1590/0034-761220240377</t>
  </si>
  <si>
    <t xml:space="preserve">An Institutional Analysis of Telework and Performance in the Brazilian Judiciary (Uma Análise Institucional do Trabalho Não Presencial e do Desempenho no Judiciário Brasileiro)</t>
  </si>
  <si>
    <t xml:space="preserve">F_101</t>
  </si>
  <si>
    <t xml:space="preserve">Scopus – Jurídicas</t>
  </si>
  <si>
    <t xml:space="preserve">G.Z. Tocchetto; C.O.D.A. Freitas. 2025. DOI: 10.17151/JURID.2025.22.1.13</t>
  </si>
  <si>
    <t xml:space="preserve">Inventive Artificial Intelligence: Thinking Technological Development without the Human Figure as Protagonist (Inteligência Artificial Inventora: Pensando o Desenvolvimento Tecnológico sem a Figura Humana como Protagonista)</t>
  </si>
  <si>
    <t xml:space="preserve">F_179</t>
  </si>
  <si>
    <t xml:space="preserve">Web of Science / Clarivate Analytics (Ius Humani)</t>
  </si>
  <si>
    <t xml:space="preserve">Eudes Vitor Bezerra; Alexsandro José Rabelo França; José Aristóbulo Caldas Fiquene Barbosa (2025). DOI: 10.31207/ih.v14i2.442</t>
  </si>
  <si>
    <t xml:space="preserve">Justice 4.0 Centers and Effectiveness of Judicial Service Delivery: Access to Justice and Procedural Efficiency in Brazil</t>
  </si>
  <si>
    <t xml:space="preserve">F_180</t>
  </si>
  <si>
    <t xml:space="preserve">Web of Science Nextgen (Law &amp; Society Review)</t>
  </si>
  <si>
    <t xml:space="preserve">Avital Mentovich; J. J. Prescott; Orna Rabinovich-Einy (2023). DOI: 10.1111/lasr.12653</t>
  </si>
  <si>
    <t xml:space="preserve">Legitimacy and online proceedings: Procedural justice, access to justice, and the role of income</t>
  </si>
  <si>
    <t xml:space="preserve">F_182</t>
  </si>
  <si>
    <t xml:space="preserve">Web of Science / Clarivate Analytics (Quaestio Iuris)</t>
  </si>
  <si>
    <t xml:space="preserve">Marcelo Negri Soares; Mauricio Avila Prazak; Julia Ribeiro de Rezende (2023). DOI: 10.12957/rqi.2023.62875</t>
  </si>
  <si>
    <t xml:space="preserve">The effectiveness of the very personal right of access to justice: Conciliation and mediation of conflicts in the light of the economic analysis of law</t>
  </si>
  <si>
    <t xml:space="preserve">F_107</t>
  </si>
  <si>
    <t xml:space="preserve">J.L. Nunes; I.A. Hartmann. 2022. DOI: 10.1007/s10506-021-09290-8</t>
  </si>
  <si>
    <t xml:space="preserve">A Quantitative Approach to Ranking Corporate Law Precedents in the Brazilian Superior Court of Justice (Uma Abordagem Quantitativa para Classificação de Precedentes de Direito Empresarial no Superior Tribunal de Justiça Brasileiro)</t>
  </si>
  <si>
    <t xml:space="preserve">F_184</t>
  </si>
  <si>
    <t xml:space="preserve">Pablo Carvacho; Isabel Arriagada; Leonardo Cofré (2022). DOI: 10.35295/OSLS.IISL/0000-0000-0000-1220</t>
  </si>
  <si>
    <t xml:space="preserve">Access to justice: A conceptual review of its components</t>
  </si>
  <si>
    <t xml:space="preserve">F_111</t>
  </si>
  <si>
    <t xml:space="preserve">Scopus – Digital Government: Research and Practice</t>
  </si>
  <si>
    <t xml:space="preserve">J. Pereira; A. Assumpcao; J. Trecenti; L. Airosa; C. Lente; J. Cléto; G. Dobins; R. Nogueira; L. Mitchell; R. Lotufo. 2025. DOI: 10.1145/3652951</t>
  </si>
  <si>
    <t xml:space="preserve">INACIA: Integrating Large Language Models in Brazilian Audit Courts: Opportunities and Challenges (INACIA: Integração de Grandes Modelos de Linguagem nos Tribunais de Contas Brasileiros: Oportunidades e Desafios)</t>
  </si>
  <si>
    <t xml:space="preserve">F_186</t>
  </si>
  <si>
    <t xml:space="preserve">Nilsiton Rodrigues de Andrade Aragão (2022). DOI: 10.12957/redp.2022.62793</t>
  </si>
  <si>
    <t xml:space="preserve">Do acesso ao Judiciário ao acesso à justiça: caminhos para a superação da cultura do litígio processual por vias autocompositivas e extrajudiciais</t>
  </si>
  <si>
    <t xml:space="preserve">F_187</t>
  </si>
  <si>
    <t xml:space="preserve">Scopus (Journal of the National Academy of Legal Sciences of Ukraine)</t>
  </si>
  <si>
    <t xml:space="preserve">Vyacheslav V. Komarov; Tetiana A. Tsuvina (2021). DOI: 10.37635/jnalsu.28(3).2021.197-208</t>
  </si>
  <si>
    <t xml:space="preserve">International standard of access to justice and subject of civil procedural law</t>
  </si>
  <si>
    <t xml:space="preserve">F_114</t>
  </si>
  <si>
    <t xml:space="preserve">Web of Science – Revista Direito GV</t>
  </si>
  <si>
    <t xml:space="preserve">T. Temer; K.D.G. de Mattos; M.C.D. Asperti. 2024. DOI: 10.1590/2317-6172202425</t>
  </si>
  <si>
    <t xml:space="preserve">Better than Nothing? The Idea of "Rough Justice" for Individuals in Disaster Cases (Melhor do que Nada? A Ideia de "Justiça Aproximada" para Indivíduos em Casos de Desastres)</t>
  </si>
  <si>
    <t xml:space="preserve">F_189</t>
  </si>
  <si>
    <t xml:space="preserve">Sabrina Jiukoski da Silva; Ricardo Soares Stersi dos Santos; Rafael Peteffi da Silva (2020). DOI: 10.12957/redp.2020.44635</t>
  </si>
  <si>
    <t xml:space="preserve">A mediação e a conciliação como instrumentos de acesso à justiça e a sua perspectiva a partir do Código de Processo Civil: o contraponto entre a cultura da sentença e a cultura do consenso</t>
  </si>
  <si>
    <t xml:space="preserve">F_190</t>
  </si>
  <si>
    <t xml:space="preserve">Web of Science Nextgen (Oxford Journal of Legal Studies)</t>
  </si>
  <si>
    <t xml:space="preserve">Abi Adams-Prassl; Jeremias Adams-Prassl (2020). DOI: 10.1093/ojls/gqaa017</t>
  </si>
  <si>
    <t xml:space="preserve">Systemic Unfairness, Access to Justice and Futility: A Framework</t>
  </si>
  <si>
    <t xml:space="preserve">F_119</t>
  </si>
  <si>
    <t xml:space="preserve">Web of Science (WOS) – Journal of Operational Risk</t>
  </si>
  <si>
    <t xml:space="preserve">G. Wu; A.Q. Du. 2026. DOI: 10.21314/JOP.2025.014</t>
  </si>
  <si>
    <t xml:space="preserve">The Digital Sentinel: Artificial Intelligence and the Mitigation of Corporate Litigation Risk (O Sentinela Digital: Inteligência Artificial e a Mitigação do Risco de Litígios Corporativos)</t>
  </si>
  <si>
    <t xml:space="preserve">F_192</t>
  </si>
  <si>
    <t xml:space="preserve">Carrie Menkel-Meadow (2021). DOI: 10.35295/OSLS.IISL/0000-0000-0000-1146</t>
  </si>
  <si>
    <t xml:space="preserve">What is an appropriate measure of litigation? Quantification, qualification and differentiation of dispute resolution</t>
  </si>
  <si>
    <t xml:space="preserve">F_195</t>
  </si>
  <si>
    <t xml:space="preserve">Google Scholar </t>
  </si>
  <si>
    <t xml:space="preserve">Pepe, A. G.; Galvão, G. L. R.; Ferreira, T. C. 2025</t>
  </si>
  <si>
    <t xml:space="preserve">Litigância Predatória e Inteligência Artificial Generativa: Desafios para o Tribunal de Justiça de Alagoas</t>
  </si>
  <si>
    <t xml:space="preserve">Incluído no corpus final (S18)</t>
  </si>
  <si>
    <t xml:space="preserve">F_196</t>
  </si>
  <si>
    <t xml:space="preserve">Silva Tenório, J. M. 2024.</t>
  </si>
  <si>
    <t xml:space="preserve">A Inteligência Artificial como Ferramenta de Combate à Litigância Predatória</t>
  </si>
  <si>
    <t xml:space="preserve">Essencial - duplicidade removida (mantida a ocorrência F_092)</t>
  </si>
  <si>
    <t xml:space="preserve">F_197</t>
  </si>
  <si>
    <t xml:space="preserve">Pereira, C. A.; Lelis, H. R. 2025</t>
  </si>
  <si>
    <t xml:space="preserve">O Papel do CNJ no Combate à Litigância Predatória</t>
  </si>
  <si>
    <t xml:space="preserve">Essencial - duplicidade removida (mantida a ocorrência F_089)</t>
  </si>
  <si>
    <t xml:space="preserve">F_198</t>
  </si>
  <si>
    <t xml:space="preserve">Confort, L. P. 2026.</t>
  </si>
  <si>
    <t xml:space="preserve">Tecnologia e Poder Judiciário: Os Desafios da Proteção dos Direitos Fundamentais e Humanos na Sociedade 4.0</t>
  </si>
  <si>
    <t xml:space="preserve">Incluído no corpus final (S24)</t>
  </si>
  <si>
    <t xml:space="preserve">F_199</t>
  </si>
  <si>
    <t xml:space="preserve">Oliveira Duarte, L. M. 2026.</t>
  </si>
  <si>
    <t xml:space="preserve">A Urgência da Literacia em Inteligência Artificial para Operadores do Direito</t>
  </si>
  <si>
    <t xml:space="preserve">F_200</t>
  </si>
  <si>
    <t xml:space="preserve">Caruso, M. L. C. 2023.</t>
  </si>
  <si>
    <t xml:space="preserve">Design de Sistemas para Tratamento da Litigância Repetitiva: Conjugação de Precedentes, Inteligência Artificial e Cooperação Judiciária</t>
  </si>
  <si>
    <t xml:space="preserve">Incluído no corpus final (S5)</t>
  </si>
  <si>
    <t xml:space="preserve">F_201</t>
  </si>
  <si>
    <t xml:space="preserve">Carvalho, L. S. 2026.</t>
  </si>
  <si>
    <t xml:space="preserve">Inteligência Artificial: Entre os Limites e os Riscos no Âmbito Jurídico</t>
  </si>
  <si>
    <t xml:space="preserve">Incluído no corpus final (S25)</t>
  </si>
  <si>
    <t xml:space="preserve">F_202</t>
  </si>
  <si>
    <t xml:space="preserve">Monteiro, R.; Rodrigues, M. da Costa. 2024.</t>
  </si>
  <si>
    <t xml:space="preserve">Inautêntico à Justiça no Brasil: A Instrumentalização da Litigância Predatória e Seus Efeitos Deleterios ao Poder Judiciário</t>
  </si>
  <si>
    <t xml:space="preserve">Incluído no corpus final (S9)</t>
  </si>
  <si>
    <t xml:space="preserve">F_203</t>
  </si>
  <si>
    <t xml:space="preserve">Trovão, L. C. de Souza; Brito, C. R. de; Schmidt, A. S. 2025.</t>
  </si>
  <si>
    <t xml:space="preserve">Litigância Predatória e Acesso à Justiça: A Utilização da Inteligência Artificial na Detecção de Ações Abusivas</t>
  </si>
  <si>
    <t xml:space="preserve">Incluído no corpus final (S23)</t>
  </si>
  <si>
    <t xml:space="preserve">F_204</t>
  </si>
  <si>
    <t xml:space="preserve">Cruz, W. S. 2025.</t>
  </si>
  <si>
    <t xml:space="preserve">Inteligência Computacional Aplicada à Análise Textual para Detecção de Litigância Predatória no Tribunal de Justiça do Tocantins</t>
  </si>
  <si>
    <t xml:space="preserve">Incluído no corpus final (S19)</t>
  </si>
  <si>
    <t xml:space="preserve">F_205</t>
  </si>
  <si>
    <t xml:space="preserve">Camila Silveira Stangherlin; 2022; DOI 10.15600/2238-1228/cd.v21n40p1-3</t>
  </si>
  <si>
    <t xml:space="preserve">A implementação de práticas autocompositivas no Brasil: alcances e limites na concretização da terceira onda de acesso à justiça do Projeto Florença</t>
  </si>
  <si>
    <t xml:space="preserve">F_206</t>
  </si>
  <si>
    <t xml:space="preserve">Élisson Miessa dos Santos; 2021; DOI não identificado para esta dissertação no documento</t>
  </si>
  <si>
    <t xml:space="preserve">A participação no recurso de revista repetitivo: análise de casos envolvendo os litigantes habituais</t>
  </si>
  <si>
    <t xml:space="preserve">F_123</t>
  </si>
  <si>
    <t xml:space="preserve">Web of Science / Computer Law &amp; Security Review</t>
  </si>
  <si>
    <t xml:space="preserve">B. Kira (2024). DOI: 10.1016/j.clsr.2024.106024</t>
  </si>
  <si>
    <t xml:space="preserve">When Non-Consensual Intimate Deepfakes Go Viral: The Insufficiency of the UK Online Safety Act (Quando Deepfakes Íntimos Não Consentidos se Tornam Virais: A Insuficiência da Lei de Segurança On-line do Reino Unido)</t>
  </si>
  <si>
    <t xml:space="preserve">F_208</t>
  </si>
  <si>
    <t xml:space="preserve">Avital Mentovich; J. J. Prescott; Orna Rabinovich-Einy; 2020; DOI não identificado no documento</t>
  </si>
  <si>
    <t xml:space="preserve">Are Litigation Outcome Disparities Inevitable? Courts, Technology, and the Future of Impartiality</t>
  </si>
  <si>
    <t xml:space="preserve">F_125</t>
  </si>
  <si>
    <t xml:space="preserve">Web of Science – Access to Justice in Eastern Europe</t>
  </si>
  <si>
    <t xml:space="preserve">A.P. Olimid; C.M. Georgescu; C.L. Gherghe. 2026. DOI: 10.33327/AJEE-18-9.1-a000173</t>
  </si>
  <si>
    <t xml:space="preserve">Transitional Justice Mechanisms and Societal Reconciliation for the Rule of Law and Democracy Consolidation in Post-Communist Romania. Jurisprudential Perspectives on Reparatory Rights, Lustration and Regime of Property (Mecanismos de Justiça de Transição e Reconciliação Social para a Consolidação do Estado de Direito e da Democracia na Romênia Pós-Comunista: Perspectivas Jurisprudenciais sobre Direitos Reparatórios, Lustration e Regime da Propriedade)</t>
  </si>
  <si>
    <t xml:space="preserve">F_129</t>
  </si>
  <si>
    <t xml:space="preserve">Web of Science – Synesis</t>
  </si>
  <si>
    <t xml:space="preserve">B.F. De Moraes; F.C. Lunardi; P.M.A.R. Correia. 2023. DOI: Não informado pelo estudo.</t>
  </si>
  <si>
    <t xml:space="preserve">The Intelligence Centers of the Judiciary and the New Public Governance: A Case Study (Os Centros de Inteligência do Poder Judiciário e a Nova Governança Pública: Um Estudo de Caso)</t>
  </si>
  <si>
    <t xml:space="preserve">F_211</t>
  </si>
  <si>
    <t xml:space="preserve">Leah Wing; 2022; DOI 10.5553/IJODR/235250022022009001001</t>
  </si>
  <si>
    <t xml:space="preserve">Mapping the Parameters of Online Dispute Resolution</t>
  </si>
  <si>
    <t xml:space="preserve">F_212</t>
  </si>
  <si>
    <t xml:space="preserve">Kathryn M. Kroeper; Victor D. Quintanilla; Michael Frisby; Nedim Yel; Amy G. Applegate; Steven J. Sherman; Mary C. Murphy; 2020; DOI 10.1037/law0000229</t>
  </si>
  <si>
    <t xml:space="preserve">Underestimating the Unrepresented: Cognitive Biases Disadvantage Pro Se Litigants in Family Law Cases</t>
  </si>
  <si>
    <t xml:space="preserve">F_134</t>
  </si>
  <si>
    <t xml:space="preserve">Scopus / Revista Eletrônica de Direito Processual,</t>
  </si>
  <si>
    <t xml:space="preserve">Bruno Freire Batista (2024). DOI: 10.12957/redp.2024.86614</t>
  </si>
  <si>
    <t xml:space="preserve">Obstructive Filter: The Microsystem of Repetitive Cases (Filtro Obstrutivo: o Microssistema dos Casos Repetitivos)</t>
  </si>
  <si>
    <t xml:space="preserve">F_214</t>
  </si>
  <si>
    <t xml:space="preserve">Rebecca Sandefur (entrevistada); Daniela Monteiro Gabbay; Luciana Gross Cunha; Maria Cecília de Araújo Asperti; Paulo Eduardo Alves da Silva; Susana Henriques da Costa (entrevistadores); 2020; DOI 10.1590/2317-6172201967</t>
  </si>
  <si>
    <t xml:space="preserve">Access to justice and inequalities: an interview with Professor Rebecca Sandefur</t>
  </si>
  <si>
    <t xml:space="preserve">F_139</t>
  </si>
  <si>
    <t xml:space="preserve">Scopus / Revista de Estudos Empíricos em Direito</t>
  </si>
  <si>
    <t xml:space="preserve">L.G. Tunala; J.E. Francisco (2025). DOI: 10.19092/reed.v12.956</t>
  </si>
  <si>
    <t xml:space="preserve">Predatory Litigation, Notarized Power of Attorney Filter and Access to Justice (Litigância Predatória, Filtro da Procuração com Firma Reconhecida e Acesso à Justiça)</t>
  </si>
  <si>
    <t xml:space="preserve">Incluído no corpus final (S17)</t>
  </si>
  <si>
    <t xml:space="preserve">F_226</t>
  </si>
  <si>
    <t xml:space="preserve">Arlynne Sthejanie Rodrigues Borges; Hildelis Silva Duarte Júnior; Amanda Silva Madureira; 2024; DOI 10.53660/CLM-2698-24A12</t>
  </si>
  <si>
    <t xml:space="preserve">Legal Transformation: The integration of lawtechs and legaltechs as drivers of Access to Justice</t>
  </si>
  <si>
    <t xml:space="preserve">F_142</t>
  </si>
  <si>
    <t xml:space="preserve">F. Fontainha; P. Rodrigues; P. de Araujo Fernandes (2021). DOI: 10.1590/1807-01912021273797</t>
  </si>
  <si>
    <t xml:space="preserve">The Labor Reform of 2017 and Its Effects: Analysis of the Procedural Flow of TRT1 (A Reforma Trabalhista de 2017 e seus Efeitos: Análise do Fluxo Processual do TRT da 1ª Região)</t>
  </si>
  <si>
    <t xml:space="preserve">F_228</t>
  </si>
  <si>
    <t xml:space="preserve">Felipe Medeiros Mariz; Valter Moura do Carmo; 2023; DOI 10.26668/IndexLawJournals/2023.v9i2.10144</t>
  </si>
  <si>
    <t xml:space="preserve">Um robô no tribunal: contribuições das IAs para o acesso à justiça, limites e perspectivas</t>
  </si>
  <si>
    <t xml:space="preserve">F_229</t>
  </si>
  <si>
    <t xml:space="preserve">Aiko Watanabe; 2024; DOI 10.55843/ISC2024conf324w</t>
  </si>
  <si>
    <t xml:space="preserve">Artificial Intelligence and Access to Justice: Analyzing Technology’s Role in Legal Systems from a Human Rights Perspective</t>
  </si>
  <si>
    <t xml:space="preserve">F_231</t>
  </si>
  <si>
    <t xml:space="preserve">Google Scholar; Portal Percurso/UNICURITIBA – v.1 n.32 (2020). URL: https://revista.unicuritiba.edu.br/index.php/percurso/article/view/4258</t>
  </si>
  <si>
    <t xml:space="preserve">Amanda Cristina Paulin; Lara Helena Luiza Zambão; 2020; DOI 10.21902/RevPercurso.2316-7521.v1i32.4258</t>
  </si>
  <si>
    <t xml:space="preserve">Tratamento do Sham Litigation no Direito Concorrencial Brasileiro à Luz da Jurisprudência do CADE no Ano de 2018</t>
  </si>
  <si>
    <t xml:space="preserve">F_257</t>
  </si>
  <si>
    <t xml:space="preserve">Carlos E. Mendoza-Rivera; 2026; DOI não identificado no documento nem na página editorial consultada</t>
  </si>
  <si>
    <t xml:space="preserve">The Role of Artificial Intelligence in Transforming Legal Practice and Access to Justice</t>
  </si>
  <si>
    <t xml:space="preserve">F_232</t>
  </si>
  <si>
    <t xml:space="preserve">Google Scholar; Revista do TRF1 / BDJur-STJ. URL: https://revista.trf1.jus.br/trf1/article/view/296</t>
  </si>
  <si>
    <t xml:space="preserve">Gustavo Santos Diniz; Vicente Bagnoli; 2021; DOI não informado pelo artigo/registro consultado</t>
  </si>
  <si>
    <t xml:space="preserve">Sham litigation no Brasil: desenvolvimento, critérios e crítica ( Lítigio Abusivo no Brasil)</t>
  </si>
  <si>
    <t xml:space="preserve">F_233</t>
  </si>
  <si>
    <t xml:space="preserve">Web of Science; Scopus; Google Scholar – European Journal of Political Economy/Elsevier. URL: https://www.sciencedirect.com/science/article/pii/S0176268021000094</t>
  </si>
  <si>
    <t xml:space="preserve">Sugata Marjit; Suryaprakash Mishra; Sandip Mitra; 2021; DOI 10.1016/j.ejpoleco.2021.102008</t>
  </si>
  <si>
    <t xml:space="preserve">Tax evasion by tax deferment: Sham litigation with an informal credit market (Evasão fiscal por meio de diferimento de impostos: Litígio simulado com mercado de crédito informal)</t>
  </si>
  <si>
    <t xml:space="preserve">F_234</t>
  </si>
  <si>
    <t xml:space="preserve">Yannick Gabuthy; Emmanuel Peterle; Jean-Christian Tisserand; 2021; DOI 10.1016/j.socec.2021.101705</t>
  </si>
  <si>
    <t xml:space="preserve">Legal Fees, Cost-Shifting Rules and Litigation: Experimental Evidence ( Honorários advocatícios, regras de repartição de custos e litígios: evidências experimentais)</t>
  </si>
  <si>
    <t xml:space="preserve">F_235</t>
  </si>
  <si>
    <t xml:space="preserve">Google Scholar; Loyola of Los Angeles Law Review. URL: https://digitalcommons.lmu.edu/llr/vol54/iss2/7/</t>
  </si>
  <si>
    <t xml:space="preserve">Shine Sean Tu; Nicholas F. Stump; 2021; DOI não informado no artigo de revista consultado</t>
  </si>
  <si>
    <t xml:space="preserve">Free Speech in the Balance: Judicial Sanctions and Frivolous SLAPP Suits ( A Liberdade de Expressão em Jogo: Sanções Judiciais e Ações SLAPP Temerárias)</t>
  </si>
  <si>
    <t xml:space="preserve">F_236</t>
  </si>
  <si>
    <t xml:space="preserve">Scopus (link institucional); Google Scholar – Adelaide Law Review. URL: https://researchnow.flinders.edu.au/en/publications/vexatious-litigant-orders-in-south-australia-time-for-a-new-look/</t>
  </si>
  <si>
    <t xml:space="preserve">Jordan Tutton; 2021; DOI não informado pelo artigo/registro</t>
  </si>
  <si>
    <t xml:space="preserve">Vexatious Litigant Orders in South Australia: Time for a New Look? ( Ordens contra Litigantes Vexatórios na Austrália do Sul: Hora de uma Nova Abordagem?)</t>
  </si>
  <si>
    <t xml:space="preserve">F_237</t>
  </si>
  <si>
    <t xml:space="preserve">Google Scholar; SSRN Electronic Journal. URL: https://papers.ssrn.com/sol3/papers.cfm?abstract_id=4092013</t>
  </si>
  <si>
    <t xml:space="preserve">Judit Bayer; Petra Bárd; Lina Vosyliūtė; Ngo Chun Luk; 2021; DOI 10.2139/ssrn.4092013</t>
  </si>
  <si>
    <t xml:space="preserve">Strategic Lawsuits Against Public Participation (SLAPP) in the European Union. A Comparative Study ( Ações Judiciais Estratégicas contra a Participação Pública (SLAPP) na União Europeia: Um Estudo Comparativo)</t>
  </si>
  <si>
    <t xml:space="preserve">F_238</t>
  </si>
  <si>
    <t xml:space="preserve">Scopus; Google Scholar – Journal of Media Law/Taylor &amp; Francis. URL: https://www.tandfonline.com/doi/abs/10.1080/17577632.2022.2129614</t>
  </si>
  <si>
    <t xml:space="preserve">Melinda Rucz; 2022; DOI 10.1080/17577632.2022.2129614</t>
  </si>
  <si>
    <t xml:space="preserve">SLAPPed by the GDPR: protecting public interest journalism in the face of GDPR-based strategic litigation against public participation ( Alvo de ações SLAPP com base no GDPR: protegendo o jornalismo de interesse público diante de litígios estratégicos contra a participação pública )fundamentados no GDPR</t>
  </si>
  <si>
    <t xml:space="preserve">F_239</t>
  </si>
  <si>
    <t xml:space="preserve">Google Scholar; Revista Ibero-Americana de Humanidades, Ciências e Educação (REASE). URL: https://periodicorease.pro.br/rease/article/view/3963</t>
  </si>
  <si>
    <t xml:space="preserve">Angelo da Silva Oliveira; 2022; DOI 10.51891/rease.v8i1.3963</t>
  </si>
  <si>
    <t xml:space="preserve">Sham Litigation: abuso do direito de petição, aspectos gerais e panorama nacional</t>
  </si>
  <si>
    <t xml:space="preserve">F_240</t>
  </si>
  <si>
    <t xml:space="preserve">Google Scholar; Dialnet / Avatares de la Comunicación y la Cultura, n.24. URL: https://dialnet.unirioja.es/servlet/articulo?codigo=9811963</t>
  </si>
  <si>
    <t xml:space="preserve">Damián Loreti; Luis Lozano; 2022; DOI não informado pelo registro</t>
  </si>
  <si>
    <t xml:space="preserve">Escúchame si puedes: el estrecho margen para las voces disidentes. Del litigio contra la participación pública a la moderación de contenidos por actores privados ( Ouça-me, se puder: a margem estreita para vozes dissidentes. Do litígio contra a participação pública à moderação de conteúdo por atores privados)</t>
  </si>
  <si>
    <t xml:space="preserve">F_241</t>
  </si>
  <si>
    <t xml:space="preserve">Scopus; Google Scholar – ERA Forum/Springer Nature. URL: https://link.springer.com/article/10.1007/s12027-023-00774-5</t>
  </si>
  <si>
    <t xml:space="preserve">Francesca Farrington; Magdalena Zabrocka; 2023; DOI 10.1007/s12027-023-00774-5</t>
  </si>
  <si>
    <t xml:space="preserve">Punishment by Process: The Development of Anti-SLAPP Legislation in the European Union( Punição por meio do Processo: O Desenvolvimento da Legislação Anti-SLAPP na União Europeia)</t>
  </si>
  <si>
    <t xml:space="preserve">F_242</t>
  </si>
  <si>
    <t xml:space="preserve">Google Scholar; European Constitutional Law Review/Cambridge Core. URL: https://www.cambridge.org/core/journals/european-constitutional-law-review/article/0272C88533A2411847B602CFAA5683EB</t>
  </si>
  <si>
    <t xml:space="preserve">Adam Bodnar; Aleksandra Gliszczyńska-Grabias; volume/issue 2023; publicação online 2024; DOI 10.1017/S1574019624000063</t>
  </si>
  <si>
    <t xml:space="preserve">Strategic Lawsuits against Public Participation (SLAPPs), the Governance of Historical Memory in the Rule of Law Crisis, and the EU Anti-SLAPP Directive ( Processos Estratégicos contra a Participação Pública (SLAPPs), a Governança da Memória Histórica na Crise do Estado de Direito e a Diretiva da UE sobre SLAPPs)</t>
  </si>
  <si>
    <t xml:space="preserve">F_244</t>
  </si>
  <si>
    <t xml:space="preserve">SciELO Brasil; Revista de Administração Pública. Fonte: https://www.scielo.br/j/rap/</t>
  </si>
  <si>
    <t xml:space="preserve">Natalia Pires de Vasconcelos; 2021; DOI 10.1590/0034-761220200121</t>
  </si>
  <si>
    <t xml:space="preserve">Entre justiça e gestão: colaboração interinstitucional na judicialização da saúde</t>
  </si>
  <si>
    <t xml:space="preserve">F_245</t>
  </si>
  <si>
    <t xml:space="preserve">Google Scholar; Ratio Juris – Faculdade de Direito do Sul de Minas.</t>
  </si>
  <si>
    <t xml:space="preserve">João Marcos Moreira Prado; Elias Kallás Filho; 2022; DOI: Não informado pelo artigo</t>
  </si>
  <si>
    <t xml:space="preserve">Sham litigation e administração pública: fundamentos legais e possível ocorrência em procedimentos licitatórios</t>
  </si>
  <si>
    <t xml:space="preserve">F_246</t>
  </si>
  <si>
    <t xml:space="preserve">Google Scholar; Cleveland State Law Review; University of Denver Digital Commons. Fonte: https://engagedscholarship.csuohio.edu/clevstlrev/vol69/iss4/6/</t>
  </si>
  <si>
    <t xml:space="preserve">Thomas D. Russell; 2021; DOI do periódico: Não informado</t>
  </si>
  <si>
    <t xml:space="preserve">Frivolous Defenses ( Defesas infundadas)</t>
  </si>
  <si>
    <t xml:space="preserve">F_247</t>
  </si>
  <si>
    <t xml:space="preserve">Google Scholar; Loyola University Chicago Law Journal; University of Denver Digital Commons. Fonte: https://lawecommons.luc.edu/luclj/vol52/iss4/3/</t>
  </si>
  <si>
    <t xml:space="preserve">Disrupting Frivolous Defenses ( Neutralizando defesas infundadas)</t>
  </si>
  <si>
    <t xml:space="preserve">F_248</t>
  </si>
  <si>
    <t xml:space="preserve">Google Scholar; Connecticut Law Review; Fordham Law School Repository.</t>
  </si>
  <si>
    <t xml:space="preserve">Bruce A. Green; 2022; DOI: Não informado pelo artigo</t>
  </si>
  <si>
    <t xml:space="preserve">Selectively Disciplining Advocates ( Disciplinar Defensores de Forma Seletiva</t>
  </si>
  <si>
    <t xml:space="preserve">F_249</t>
  </si>
  <si>
    <t xml:space="preserve">Revista Jurídica Luso-Brasileira; Faculdade de Direito da Universidade de Lisboa.</t>
  </si>
  <si>
    <t xml:space="preserve">José Laurindo de Souza Netto; Anderson Ricardo Fogaça; Adriane Garcel; Karen Hippertt; 2022; DOI: Não informado pelo artigo</t>
  </si>
  <si>
    <t xml:space="preserve">Acesso inautêntico à justiça e a crise da jurisdição: as taxas processuais na litigância predatória</t>
  </si>
  <si>
    <t xml:space="preserve">F_250</t>
  </si>
  <si>
    <t xml:space="preserve">Market and Competition Law Review – Universidade Católica Editora, Portugal. Fonte: https://www.uceditora.ucp.pt/pt/market-and-competition-law-review/3258-market-and-competition-law-review-v7-n-1-2023.html</t>
  </si>
  <si>
    <t xml:space="preserve">Emanuela Arezzo; 2023; DOI 10.34632/mclawreview.2023.12677</t>
  </si>
  <si>
    <t xml:space="preserve">Patent Portfolios and Competition Law: Some Reflections After the Recent RPSA Cases ( Portfólios de Patentes e Direito da Concorrência: Algumas Reflexões após os Recentes Casos RPSA)</t>
  </si>
  <si>
    <t xml:space="preserve">F_251</t>
  </si>
  <si>
    <t xml:space="preserve">Google Scholar; UC Law Constitutional Quarterly. Fonte: repositório institucional da UC Law SF.</t>
  </si>
  <si>
    <t xml:space="preserve">Katheryn M. Wenger; 2020; DOI: Não informado pelo artigo</t>
  </si>
  <si>
    <t xml:space="preserve">You Don’t Have to Pay the Troll Toll: Antitrust Violations of Patent Assertion Entities and the Noerr-Pennington Doctrine “Sham Litigation” Exception ( Você não precisa pagar o pedágio do "troll": violações antitruste por entidades de exercício de patentes e a exceção de "litígio simulado" da doutrina Noerr-Pennington)</t>
  </si>
  <si>
    <t xml:space="preserve">F_252</t>
  </si>
  <si>
    <t xml:space="preserve">Humanities &amp; Social Sciences Communications (Springer Nature) – artigo fornecido em PDF; base de recuperação não informada</t>
  </si>
  <si>
    <t xml:space="preserve">Junshang Duan; Beibei Zhang; 2024; DOI: 10.1057/s41599-024-03809-5</t>
  </si>
  <si>
    <t xml:space="preserve">Abusive litigation in China: comparative insights and practical approaches for reform</t>
  </si>
  <si>
    <t xml:space="preserve">Incluído no corpus final (S10)</t>
  </si>
  <si>
    <t xml:space="preserve">F_253</t>
  </si>
  <si>
    <t xml:space="preserve">Revista Eletrônica de Direito Processual – REDP/UERJ, ano 19, v. 26, n. 2, maio/ago. 2025; artigo fornecido em PDF</t>
  </si>
  <si>
    <t xml:space="preserve">Marcelo Veiga Franco; Guilherme Costa Leroy; 2025; DOI não identificado no PDF</t>
  </si>
  <si>
    <t xml:space="preserve">Boa-fé processual e abuso do direito de ação: o assédio processual definido pelo Superior Tribunal de Justiça e outras modalidades estrangeiras de ilícito processual</t>
  </si>
  <si>
    <t xml:space="preserve">Incluído no corpus final (S20)</t>
  </si>
  <si>
    <t xml:space="preserve">F_254</t>
  </si>
  <si>
    <t xml:space="preserve">Revista Jurídica da OAB/SC, v. 4, e032, set. 2024; artigo fornecido em PDF</t>
  </si>
  <si>
    <t xml:space="preserve">Sérgio Laguna Pereira; 2024; DOI: 10.37497/rev.jur.oab-sc.v4i00.32</t>
  </si>
  <si>
    <t xml:space="preserve">Direito, eficiência e tecnologia: a aplicação da inteligência artificial na litigância de massa contra o Poder Público</t>
  </si>
  <si>
    <t xml:space="preserve">Incluído no corpus final (S11)</t>
  </si>
  <si>
    <t xml:space="preserve">F_255</t>
  </si>
  <si>
    <t xml:space="preserve">civilistica.com, a. 14, n. 3, 2025; artigo fornecido em PDF</t>
  </si>
  <si>
    <t xml:space="preserve">Pedro Augusto Gregorini; Maria Elisa Cesar Novais; Maria Paula Bertran; 2025; DOI: 10.5281/zenodo.18307524</t>
  </si>
  <si>
    <t xml:space="preserve">Há “indústria do dano moral” contra os bancos? Tentativa de resposta por meio de análise jurimétrica</t>
  </si>
  <si>
    <t xml:space="preserve">Incluído no corpus final (S21)</t>
  </si>
  <si>
    <t xml:space="preserve">F_256</t>
  </si>
  <si>
    <t xml:space="preserve">Revista EJEF, Belo Horizonte, ano 4, n. 7, jul./dez. 2025; artigo fornecido em PDF</t>
  </si>
  <si>
    <t xml:space="preserve">Maurício Ferreira Cunha; Jhonatta Braga Barros; 2025; DOI não identificado no PDF</t>
  </si>
  <si>
    <t xml:space="preserve">Litigância abusiva, medidas de combate e a devida interseção com a análise econômica do direito</t>
  </si>
  <si>
    <t xml:space="preserve">Incluído no corpus final (S22)</t>
  </si>
  <si>
    <t xml:space="preserve">ID no artigo</t>
  </si>
  <si>
    <t xml:space="preserve">ID(s) na matriz</t>
  </si>
  <si>
    <t xml:space="preserve">Base e coleções</t>
  </si>
  <si>
    <t xml:space="preserve">Tribunal / esfera analisada</t>
  </si>
  <si>
    <t xml:space="preserve">Tecnologia de IA / arquitetura</t>
  </si>
  <si>
    <t xml:space="preserve">Tipo de litigância / padrão identificado</t>
  </si>
  <si>
    <t xml:space="preserve">Principais resultados / impacto na gestão</t>
  </si>
  <si>
    <t xml:space="preserve">Observações / limitações técnicas ou éticas</t>
  </si>
  <si>
    <t xml:space="preserve">Classificação final de aderência</t>
  </si>
  <si>
    <t xml:space="preserve">S1</t>
  </si>
  <si>
    <t xml:space="preserve">Poder Judiciário Brasileiro. O estudo examina o uso da Inteligência Artificial na atividade jurisdicional e seus reflexos sobre a decisão judicial.</t>
  </si>
  <si>
    <t xml:space="preserve">O estudo discute aplicações de Inteligência Artificial, aprendizado de máquina e sistemas de apoio à decisão judicial, abordando o conceito de "juiz artificial". Não apresenta arquitetura computacional específica nem algoritmo implementado.</t>
  </si>
  <si>
    <t xml:space="preserve">Não trata de litigância abusiva. Analisa os impactos da Inteligência Artificial sobre a atividade jurisdicional e a regulação das decisões automatizadas.</t>
  </si>
  <si>
    <t xml:space="preserve">Conclui que a utilização da IA no Judiciário deve ocorrer como ferramenta de apoio ao magistrado, preservando a independência judicial, a fundamentação das decisões e as garantias do devido processo legal.</t>
  </si>
  <si>
    <t xml:space="preserve">Estudo teórico e normativo. Não apresenta validação empírica nem mineração de dados. Não identifica padrões de litigância abusiva ou perfilamento de litigantes.</t>
  </si>
  <si>
    <t xml:space="preserve">S2</t>
  </si>
  <si>
    <t xml:space="preserve">Poder Judiciário (Justiça Estadual, Federal, Trabalho, Eleitoral), Tribunais Superiores (STF, STJ) e TJAC.</t>
  </si>
  <si>
    <t xml:space="preserve">Algoritmos de Machine Learning, Processamento de Linguagem Natural (NLP), sistemas preditivos de comportamento, curadoria de datasets e plataformas integradas (Sinapses, Codex, PDPJ, PJe, e-SAJ).</t>
  </si>
  <si>
    <t xml:space="preserve">Excessiva litigiosidade, alta taxa de acúmulo de processos pendentes, opacidade algorítmica, enviesamento de datasets e emulação de preconceitos/desvios próprios do comportamento humano.</t>
  </si>
  <si>
    <t xml:space="preserve">Efeito positivo na celeridade e diminuição de despesas administrativas; substituição de tarefas rotineiras, controle dinâmico de prazos judiciais e facilitação de audiências remotas por videoconferência.</t>
  </si>
  <si>
    <t xml:space="preserve">Desigualdade social crônica refletida na exclusão digital do país (classes C, D, E dependentes exclusivamente de celular), exigindo políticas públicas macroeconômicas de inclusão digital e respeito à atividade de julgar como essencialmente humana.</t>
  </si>
  <si>
    <t xml:space="preserve">S3</t>
  </si>
  <si>
    <t xml:space="preserve">Poder Judiciário brasileiro; CNJ; Justiça Federal e Centros de Inteligência; autor vinculado ao TRF da 5ª Região e ao Centro Local de Inteligência da Justiça Federal no Ceará</t>
  </si>
  <si>
    <t xml:space="preserve">Não implementa IA. Propõe monitoramento de demandas, intercâmbio de dados, informações estatísticas, gestão de precedentes e diálogo interinstitucional como instrumentos organizacionais dos Centros de Inteligência</t>
  </si>
  <si>
    <t xml:space="preserve">Demandas repetitivas, excesso de litigiosidade, efeito multiplicador de conflitos e atuação de litigantes habituais. Não equipara repetitividade a abuso nem apresenta taxonomia específica de litigância predatória</t>
  </si>
  <si>
    <t xml:space="preserve">Conclui que os Centros podem identificar origens, causas e consequências das demandas repetitivas, prevenir conflitos e promover correções administrativas ou privadas. Defende diálogo horizontal com litigantes e instituições, compartilhamento de informações e ajustes procedimentais para assegurar isonomia, segurança jurídica e acesso à ordem jurídica justa</t>
  </si>
  <si>
    <t xml:space="preserve">Revisão bibliográfica e documental, sem avaliação causal ou métricas de desempenho dos Centros. Reconhece que o excesso de litigiosidade é multicausal e exige estudos sobre cultura, advocacia, ensino jurídico, custas e análise econômica. Não apresenta solução tecnológica testada</t>
  </si>
  <si>
    <t xml:space="preserve">S4</t>
  </si>
  <si>
    <t xml:space="preserve">Tribunais de Justiça Brasileiros (Esferas ível,Criminal/júri/Maria da Penha, previdenciária e fiscal; ex: INSS, CEF).</t>
  </si>
  <si>
    <t xml:space="preserve">Técnicas de Processamento de Linguagem Natural (NLP), aprendizado profundo (deep learning), algoritmos de aprendizado de máquina, robôs de atendimento preliminar (bots) e automação de documentos/juntadas judiciais.</t>
  </si>
  <si>
    <t xml:space="preserve">Demandismo exacerbado, excessiva judicialização da saúde/setores públicos, conflitos de massa estruturados em altos acervos repetitivos, e o risco de desumanização produtivista ("fordismo jurídico").</t>
  </si>
  <si>
    <t xml:space="preserve">Mapeamento de um crescimento explosivo de 171% nas iniciativas de IA nos tribunais (2021-2022); automação pesada de procedimentos operacionais internos (identificação de documentos, extração de conteúdos e pesquisa jurisprudencial).</t>
  </si>
  <si>
    <t xml:space="preserve">O desenvolvimento isolado gera silos e "ilhas estanques não padronizadas"; quase inexistência de IA em métodos consensuais/ODR (apenas 3 de 111 projetos); risco de segregação cibernética judicial e elitismo se focar apenas nos aspectos técnicos internos sem gerar Valor Público real ao cidadão.</t>
  </si>
  <si>
    <t xml:space="preserve">S5</t>
  </si>
  <si>
    <t xml:space="preserve">Poder Judiciário brasileiro</t>
  </si>
  <si>
    <t xml:space="preserve">Sistemas tecnológicos de apoio ao tratamento de demandas repetitivas</t>
  </si>
  <si>
    <t xml:space="preserve">Litigância repetitiva e contencioso de massa</t>
  </si>
  <si>
    <t xml:space="preserve">Defende que o Poder Judiciário implemente mecanismos institucionais de fomento e desestímulo à litigância abusiva, conjugando precedentes e IA.</t>
  </si>
  <si>
    <t xml:space="preserve">Abordagem voltada ao design de sistemas e cooperação judiciária.</t>
  </si>
  <si>
    <t xml:space="preserve">S6</t>
  </si>
  <si>
    <t xml:space="preserve">Poder Judiciário Brasileiro. O estudo analisa artefatos de IA utilizados no Judiciário brasileiro para enfrentar a litigiosidade.</t>
  </si>
  <si>
    <t xml:space="preserve">Análise de artefatos de IA utilizados pelo Judiciário, especialmente sistemas voltados ao agrupamento (clustering) e ao tratamento em massa de processos. Propõe a abordagem Systemic Design of Defuturing (SoDF) para orientar o desenvolvimento responsável de sistemas de IA.</t>
  </si>
  <si>
    <t xml:space="preserve">Analisa o fenômeno da litigiosidade no Judiciário brasileiro. Não identifica litigância abusiva ou perfilamento de litigantes, mas discute mecanismos utilizados para enfrentar o elevado volume de processos.</t>
  </si>
  <si>
    <t xml:space="preserve">Demonstra que os artefatos atuais concentram-se em aumentar produtividade e eficiência, sem reduzir a litigiosidade. Recomenda incorporar princípios de design sistêmico, monitoramento contínuo da atuação judicial e capacitação dos magistrados para supervisionar sistemas de IA.</t>
  </si>
  <si>
    <t xml:space="preserve">Em relação ao MSL, não desenvolve arquitetura de mineração de dados nem identifica padrões de litigância abusiva, mas apresenta importante reflexão sobre governança e desenho de sistemas de IA no Judiciário.</t>
  </si>
  <si>
    <t xml:space="preserve">S7</t>
  </si>
  <si>
    <t xml:space="preserve">F_092 (dup. F_196)</t>
  </si>
  <si>
    <t xml:space="preserve">Sistema Judicial Brasileiro (STF, STJ, TRF3, TRF4, TJAP, TJBA, TJAL, TJAC, TJRJ, TJDFT, TJAM, TJGO, TJRR, TJCE, TJPE, TJMS, TJMT,
Maranhão).</t>
  </si>
  <si>
    <t xml:space="preserve">Algoritmos de aprendizado de máquina integrados ao processo eletrônico,Processamento de Linguagem Natural (NLP) focado na análise minuciosa de petições iniciais, etiquetamento em larga escala e reuso automatizado de documentos.</t>
  </si>
  <si>
    <t xml:space="preserve">Litigância predatória / abusiva (ajuizamento em massa de ações repetitivas com causa de pedir genérica/hipotética, petições padronizadas, assinaturas montadas/coladas em procurações, dispensa indiscriminada de conciliação, reuso fraudulento de documentos).</t>
  </si>
  <si>
    <t xml:space="preserve">Sucesso prático de ferramentas especializadas: o sistema Arandu (TJAM) detecta similaridade textual, Berna unifica demandas repetitivas idênticas com 90% de precisão gerando pendências automatizadas em cartórios, e Bastião (TJPE) emite alertas comportamentais automáticos.</t>
  </si>
  <si>
    <t xml:space="preserve">Falta de consenso e pacificação doutrinária plena sobre o conceito e características da litigância predatória; necessidade de cooperação contínua e integrada externa (OAB, Judiciário e MP).</t>
  </si>
  <si>
    <t xml:space="preserve">S8</t>
  </si>
  <si>
    <t xml:space="preserve">Sistema de Justiça brasileiro, sob enfoque institucional e processual.</t>
  </si>
  <si>
    <t xml:space="preserve">Não informado pelo estudo. Não utiliza Inteligência Artificial nem arquitetura computacional.</t>
  </si>
  <si>
    <t xml:space="preserve">Define os elementos caracterizadores da litigância predatória, distinguindo-a de outras modalidades de abuso processual. Propõe três etapas institucionais para seu enfrentamento: identificação, processualização e responsabilização.</t>
  </si>
  <si>
    <t xml:space="preserve">Demonstra que a litigância predatória possui natureza coletiva e sistêmica, recomendando mecanismos igualmente sistêmicos para seu enfrentamento, como a cooperação institucional entre os atores do sistema de justiça e modelos de coletivização integrativa dos procedimentos repetitivos e cooperativos.</t>
  </si>
  <si>
    <t xml:space="preserve">Estudo jurídico-teórico de caráter exploratório e problematizador. Não apresenta validação empírica nem utilização de IA. Constitui importante referencial conceitual para definição do fenômeno da litigância predatória. Exportação Scopus indica 0 citações</t>
  </si>
  <si>
    <t xml:space="preserve">S9</t>
  </si>
  <si>
    <t xml:space="preserve">Abordagem sobre como a inteligência artificial revoluciona a maneira como os precedentes são instrumentalizados</t>
  </si>
  <si>
    <t xml:space="preserve">Instrumentalização da litigância predatória e uso abusivo do aparato judicial</t>
  </si>
  <si>
    <t xml:space="preserve">Analisa os efeitos deletérios da litigância predatória e o papel transformador da tecnologia na verificação dos precedentes.</t>
  </si>
  <si>
    <t xml:space="preserve">Foco na instrumentalização inautêntica e nos precedentes judiciais.</t>
  </si>
  <si>
    <t xml:space="preserve">S10</t>
  </si>
  <si>
    <t xml:space="preserve">Sistema jurídico chinês, em matérias civis e criminais; análise comparativa com soluções do direito inglês e neerlandês</t>
  </si>
  <si>
    <t xml:space="preserve">Não utiliza IA. Estudo jurídico-comparado e normativo; sem arquitetura computacional implementada</t>
  </si>
  <si>
    <t xml:space="preserve">Litigância abusiva em causas civis e criminais; ações frívolas/infundadas, uso abusivo do processo, incentivos econômicos e problemas de responsabilização</t>
  </si>
  <si>
    <t xml:space="preserve">Identifica impactos da litigância abusiva sobre congestionamento judicial, recursos públicos e custos para as partes. Propõe melhor definição dos responsáveis, mecanismos de compensação, controle de incentivos à litigância e aperfeiçoamento da alocação de recursos judiciais e do equilíbrio de poderes no processo penal</t>
  </si>
  <si>
    <t xml:space="preserve">Estudo predominantemente jurídico-comparado, sem validação empírica ou ferramenta de IA. As propostas dependem do contexto institucional chinês; cautela na transposição para outros sistemas jurídicos</t>
  </si>
  <si>
    <t xml:space="preserve">S11</t>
  </si>
  <si>
    <t xml:space="preserve">Advocacia Pública / Poder Público brasileiro; contencioso administrativo e judicial de massa, com menções a tributário, servidores públicos e saúde</t>
  </si>
  <si>
    <t xml:space="preserve">Jurimetria e análise preditiva; modelos de machine learning discutidos: regressão logística, árvores de decisão e redes neurais; uso de grandes bases de dados para previsão de tendências</t>
  </si>
  <si>
    <t xml:space="preserve">Litigância de massa e demandas repetitivas contra o Poder Público; padrões e tendências decisórias utilizados para orientar estratégias preventivas</t>
  </si>
  <si>
    <t xml:space="preserve">Defende o uso de IA e jurimetria para prever resultados, padronizar estratégias, reduzir custos, melhorar alocação de recursos e apoiar políticas preventivas baseadas em dados na Advocacia Pública</t>
  </si>
  <si>
    <t xml:space="preserve">Pesquisa bibliográfica e indutiva; não demonstra treinamento, teste ou validação de modelo próprio. Os algoritmos são apresentados como possibilidades de aplicação, de modo que os ganhos de eficiência são predominantemente prospectivos</t>
  </si>
  <si>
    <t xml:space="preserve">S12</t>
  </si>
  <si>
    <t xml:space="preserve">Justiça Estadual, Justiça Federal, Justiça do Trabalho e Justiça Eleitoral.</t>
  </si>
  <si>
    <t xml:space="preserve">engenharia de prompts, análise semântica e sumarização automática</t>
  </si>
  <si>
    <t xml:space="preserve">Não identifica litigância abusiva diretamente. Identifica padrões de judicialização decorrentes de falhas de implementação de políticas públicas. Principais clusters: relação de emprego (pejotização), assistência judiciária gratuita, isenção fiscal, benefícios previdenciários e fraudes em registros de MEI. Contudo utilizou o algoritmo HDBSCAN importante para identificar demandas repetitivas</t>
  </si>
  <si>
    <t xml:space="preserve">Transformou 57.075 decisões judiciais em conhecimento estruturado; identificou 11.775 processos efetivamente relacionados ao MEI; consolidou milhares de processos em 40 tópicos jurídicos relevantes; produziu painel analítico interativo; riscos de viés</t>
  </si>
  <si>
    <t xml:space="preserve">bases documentais não-padronizadas (ementas heterogênea) e 31% dos casos foram classificados como ruído pelo HDBSCAN</t>
  </si>
  <si>
    <t xml:space="preserve">S13</t>
  </si>
  <si>
    <t xml:space="preserve">F_089 (dup. F_197)</t>
  </si>
  <si>
    <t xml:space="preserve">O PAPEL DO CNJ NO COMBATE À LITIGÂNCIA PREDATÓRIA</t>
  </si>
  <si>
    <t xml:space="preserve">CNJ, Corregedoria Nacional, STF e Tribunais Estaduais (TJSP, TJPE, TJMG, TJMS, TJRJ).</t>
  </si>
  <si>
    <t xml:space="preserve">Sistemas de inteligência de dados, painéis de monitoramento integrados, alertas automáticos e cruzamento de bases digitais integradas.</t>
  </si>
  <si>
    <t xml:space="preserve">Litigância predatória / abusiva (demandas sem lastro, artificiais, fraudulentas, fatiamento/fracionamento de causas, procurações fraudadas, falsificação de comprovantes de endereço, apropriação indevida de valores e exploração de vulneráveis).</t>
  </si>
  <si>
    <t xml:space="preserve">Consolidação da Recomendação CNJ nº 159/2024 como marco estratégico unificado nacional, gerando alertas precoces, perícias eficientes, saneamento financeiro-processual e proteção a cidadãos hipossuficientes.</t>
  </si>
  <si>
    <t xml:space="preserve"> Dependência extrema de evolução tecnológica contínua e da integração em rede ativa e articulada com agentes externos ao Judiciário (OAB, Defensoria, MP).</t>
  </si>
  <si>
    <t xml:space="preserve">S14</t>
  </si>
  <si>
    <t xml:space="preserve">O estudo analisa o emprego de Inteligência Artificial baseada em aprendizado de máquina (Machine Learning) para identificação de padrões comportamentais em grandes bases processuais. Não propõe algoritmo específico, mas descreve sistemas capazes de detectar padrões repetitivos de litigância abusiva mediante processamento massivo de dados judiciais, submetidos à supervisão humana e à governança prevista na Resolução CNJ nº 615/2025.</t>
  </si>
  <si>
    <t xml:space="preserve">Conceitua a litigância abusiva como o exercício do direito de ação além de seus fins legítimos, adotando como referência a Recomendação CNJ nº 159/2024. Destaca como espécies: demandas sem lastro, temerárias, artificiais, procrastinatórias, frívolas, fraudulentas, desnecessariamente fracionadas, assédio processual, violação ao dever de mitigação de prejuízos e litigância predatória. Defende que a IA deve identificar padrões objetivos de comportamento, e não perfis pessoais dos litigantes</t>
  </si>
  <si>
    <t xml:space="preserve">Demonstra que a Inteligência Artificial possui elevado potencial para auxiliar a gestão judiciária mediante identificação de padrões de litigância abusiva impossíveis de serem detectados manualmente em grandes acervos processuais. Sustenta que seu uso é viável e desejável, desde que observadas governança algorítmica, supervisão humana, transparência, auditoria, proteção de dados, avaliação contínua de impacto algorítmico e mitigação de vieses discriminatórios. Propõe três dimensões de análise dos riscos: jurisdicional, funcional e administrativa, reforçando que a decisão permanece sob responsabilidade do magistrado.</t>
  </si>
  <si>
    <t xml:space="preserve">Estudo jurídico-doutrinário, com metodologia qualitativa, descritivo-analítica, fundamentado em pesquisa bibliográfica e documental. Não desenvolve ferramenta computacional nem valida modelo de IA. Baseia-se principalmente na Resolução CNJ nº 615/2025, na Recomendação CNJ nº 159/2024 e na literatura sobre Inteligência Artificial, governança algorítmica e litigância abusiva. Como principal limitação, reconhece que a definição dos limites da litigância abusiva ainda carece de maior consolidação dogmática e que modelos de IA jamais alcançarão acurácia absoluta, exigindo monitoramento permanente e possibilidade de descarte caso apresentem enviesamento discriminatório.</t>
  </si>
  <si>
    <t xml:space="preserve">S15</t>
  </si>
  <si>
    <t xml:space="preserve">Tribunal de Justiça de Alagoas (TJAL). O estudo analisa a experiência institucional do TJAL no enfrentamento da litigância abusiva mediante utilização de ferramentas de Inteligência Artificial, especialmente em demandas repetitivas e predatórias.</t>
  </si>
  <si>
    <t xml:space="preserve">O artigo analisa a utilização dos robôs Hércules e Aslan, desenvolvidos pelo TJAL para automatização da triagem processual, identificação de padrões repetitivos, classificação automática de petições, reconhecimento de litigantes contumazes, agrupamento de demandas semelhantes e apoio à gestão de recursos repetitivos. Também referencia os sistemas Victor (STF), Athos (STJ) e Arandu (TJAM) como experiências correlatas de IA aplicada ao Judiciário brasileiro.</t>
  </si>
  <si>
    <t xml:space="preserve">Conceitua a litigância abusiva como gênero que engloba demandas repetitivas, artificiais, padronizadas, fraudulentas e estrategicamente utilizadas para obtenção de vantagens indevidas ou sobrecarga do Poder Judiciário. Destaca como padrões relevantes: petições padronizadas, documentos falsificados, litigantes habituais, recursos protelatórios, ajuizamento massivo, multiplicidade artificial de demandas, utilização reiterada dos mesmos endereços, captação ilícita de clientela e litigância predatória.</t>
  </si>
  <si>
    <t xml:space="preserve">Demonstra que a Inteligência Artificial constitui importante instrumento de governança judiciária, permitindo identificar padrões processuais em larga escala, acelerar a triagem de processos, reduzir tempo de análise, aumentar a uniformidade procedimental e subsidiar a atuação dos Centros de Inteligência. O estudo evidencia resultados concretos do TJAL: mais de 11.330 petições analisadas pelo robô Hércules até 2024 e índice de acurácia superior a 95% do sistema Aslan, além da identificação automatizada de litigantes contumazes e demandas repetitivas. Conclui que a IA fortalece a eficiência administrativa sem substituir a atividade jurisdicional humana.</t>
  </si>
  <si>
    <t xml:space="preserve">Pesquisa qualitativa baseada em revisão bibliográfica e documental. Não desenvolve novo algoritmo, mas analisa experiências institucionais existentes. Destaca como limitações e desafios: proteção de dados pessoais (LGPD), transparência algorítmica, supervisão humana obrigatória, prevenção de vieses automatizados, governança ética dos modelos de IA e capacitação permanente de magistrados e servidores. Defende que a IA deve atuar como ferramenta de apoio decisório e não substituir o magistrado.</t>
  </si>
  <si>
    <t xml:space="preserve">S16</t>
  </si>
  <si>
    <t xml:space="preserve">Tribunal de Justiça do Estado do Tocantins (TJTO), com análise comparativa das Notas Técnicas dos Centros de Inteligência de diversos Tribunais Estaduais, do Conselho Nacional de Justiça (CNJ) e da jurisprudência do Superior Tribunal de Justiça (Tema 1.198). O foco central é a atuação do Centro de Inteligência do Núcleo de Gerenciamento de Precedentes (CINUGEP/NUGEPAC) do TJTO</t>
  </si>
  <si>
    <t xml:space="preserve">Não desenvolve modelo próprio de Inteligência Artificial. O estudo fundamenta-se em inteligência organizacional baseada em Centros de Inteligência, análise documental, Business Intelligence (BI), análise de dados institucionais, gestão de precedentes e monitoramento de litigância repetitiva. Menciona o Laboratório Interdisciplinar de Inteligência Artificial da ESMAT (LIIARES) apenas como estrutura institucional, sem propor algoritmo ou arquitetura computacional específica.</t>
  </si>
  <si>
    <t xml:space="preserve">Caracteriza a litigância predatória/abusiva como utilização reiterada e estratégica do Poder Judiciário mediante ajuizamento massivo de demandas artificiais, abuso do direito de ação, fracionamento indevido de pretensões, padronização de petições, utilização de documentos falsos ou inconsistentes, captação irregular de clientes, litigantes habituais, assédio processual e outras práticas que comprometem a eficiência judicial. Analisa a evolução terminológica entre "litigância predatória" e "litigância abusiva", especialmente após o julgamento do Tema Repetitivo 1.198 do STJ.</t>
  </si>
  <si>
    <t xml:space="preserve">Conclui que os Centros de Inteligência representam importante mecanismo de governança judiciária para identificação, prevenção e enfrentamento da litigância abusiva. Demonstra que a atuação do CINUGEP/TJTO encontra-se alinhada às diretrizes nacionais, porém identifica lacunas procedimentais que justificam a elaboração de um Protocolo específico de prevenção e combate à litigância abusiva, capaz de padronizar fluxos, fortalecer a atuação institucional, aprimorar a análise de dados, racionalizar a prestação jurisdicional e preservar os princípios do acesso à justiça e da razoável duração do processo.</t>
  </si>
  <si>
    <t xml:space="preserve">Pesquisa qualitativa, exploratória, bibliográfica e documental, baseada em revisão doutrinária, análise de jurisprudência, resoluções do CNJ, notas técnicas dos Centros de Inteligência e relatórios institucionais. O estudo reconhece como desafios a inexistência de conceito doutrinário uniforme, a necessidade de distinguir litigância abusiva de litigância repetitiva legítima, a preservação do direito fundamental de acesso à Justiça e a necessidade de atuação interdisciplinar e cooperativa entre órgãos do Poder Judiciário. O principal produto tecnológico da pesquisa consiste na proposta de protocolo institucional, e não em ferramenta de Inteligência Artificial.</t>
  </si>
  <si>
    <t xml:space="preserve">S17</t>
  </si>
  <si>
    <t xml:space="preserve">Tribunal de Justiça do Estado de São Paulo (TJSP), com estudo empírico sobre a aplicação do denominado "filtro da procuração com firma reconhecida" durante o primeiro semestre de 2023.</t>
  </si>
  <si>
    <t xml:space="preserve">Não informado pelo estudo. Não há utilização de Inteligência Artificial ou arquitetura computacional; trata-se de estudo empírico baseado em levantamento de dados judiciais.</t>
  </si>
  <si>
    <t xml:space="preserve">Analisa a litigância predatória sob a perspectiva do filtro da procuração com firma reconhecida, examinando sua utilização como mecanismo de enfrentamento do fenômeno e suas repercussões sobre o acesso à justiça.</t>
  </si>
  <si>
    <t xml:space="preserve">Conclui que o filtro revela deficiências na implementação do Tema 1.198 do STJ e propõe a verificação do consentimento informado da parte no momento da outorga de poderes ao advogado, como forma de reduzir práticas abusivas sem restringir indevidamente o direito fundamental de acesso à justiça.</t>
  </si>
  <si>
    <t xml:space="preserve">Estudo empírico baseado em dados do TJSP. Não utiliza IA. Evidencia a necessidade de equilibrar mecanismos de controle da litigância predatória com a preservação do acesso à justiça. Exportação Scopus indica 0 citações.</t>
  </si>
  <si>
    <t xml:space="preserve">S18</t>
  </si>
  <si>
    <t xml:space="preserve">Tribunal de Justiça de Alagoas (TJAL</t>
  </si>
  <si>
    <t xml:space="preserve">Inteligência Artificial Generativa (IAG) e mapeamento normativo/institucional</t>
  </si>
  <si>
    <t xml:space="preserve">Litigância predatória facilitada pelo uso de tecnologias e petições padronizadas</t>
  </si>
  <si>
    <t xml:space="preserve">Mapeia diretrizes normativas e institucionais voltadas ao enfrentamento da litigância abusiva, abordando os impactos e desafios no processo judicial</t>
  </si>
  <si>
    <t xml:space="preserve">Enfoque especial nas diretrizes normativas e no uso de IA generativa.</t>
  </si>
  <si>
    <t xml:space="preserve">S19</t>
  </si>
  <si>
    <t xml:space="preserve">Tribunal de Justiça do Tocantins (TJTO)</t>
  </si>
  <si>
    <t xml:space="preserve">Técnicas de inteligência artificial, mineração de dados e análise textual computacional</t>
  </si>
  <si>
    <t xml:space="preserve">Litigância predatória no âmbito jurídico e processual estadual</t>
  </si>
  <si>
    <t xml:space="preserve">Apresenta o uso prático de inteligência computacional e mineração de dados para auxiliar o TJTO na identificação e combate automatizado de padrões de litigância predatória.</t>
  </si>
  <si>
    <t xml:space="preserve">Estudo com forte aderência regional voltado diretamente ao tribunal de origem do estado</t>
  </si>
  <si>
    <t xml:space="preserve">S20</t>
  </si>
  <si>
    <t xml:space="preserve">Brasil – Superior Tribunal de Justiça e processo civil brasileiro; comparação com institutos de ordenamentos estrangeiros</t>
  </si>
  <si>
    <t xml:space="preserve">Não utiliza IA. Pesquisa jurídico-dogmática e comparada</t>
  </si>
  <si>
    <t xml:space="preserve">Assédio processual; sham litigation; frivolous litigation; vexatious litigation; splitting of causes of action; SLAPP/chilling effect; abuso reiterado do direito de ação</t>
  </si>
  <si>
    <t xml:space="preserve">Sistematiza modalidades nacionais e estrangeiras de abuso processual e sustenta que a boa-fé processual funciona como fundamento para identificação, contenção e responsabilização de condutas abusivas. Reforça a necessidade de critérios jurídicos para distinguir exercício legítimo do direito de ação de práticas ilícitas</t>
  </si>
  <si>
    <t xml:space="preserve">Não apresenta aplicação tecnológica, base de dados ou mensuração de desempenho. Contribuição conceitual relevante para taxonomia do abuso processual, mas sua utilidade para detecção automatizada depende de posterior operacionalização dos critérios</t>
  </si>
  <si>
    <t xml:space="preserve">S21</t>
  </si>
  <si>
    <t xml:space="preserve">Tribunal de Justiça de São Paulo (TJSP) – Justiça Comum Estadual; processos cíveis envolvendo Bradesco, Santander e Itaú, com recorte de processos ajuizados em 2019</t>
  </si>
  <si>
    <t xml:space="preserve">Não emprega IA propriamente dita. Jurimetria, estatística descritiva e ciência de dados; software próprio para coleta/compilação; Excel e Tableau para tratamento e visualização</t>
  </si>
  <si>
    <t xml:space="preserve">Litigância bancária repetitiva; pedidos de indenização por danos materiais e morais e inclusão indevida em cadastro de inadimplentes; análise de concentração de litigância e resultados</t>
  </si>
  <si>
    <t xml:space="preserve">A amostra analisada mostra que os bancos figuram como réus recorrentes, mas não confirma uma atuação homogênea ou coordenada dos consumidores que caracterize uma 'indústria do dano moral'. A inclusão indevida em cadastro de inadimplentes aparece como fator relevante para litigância consumerista. O estudo produz indicadores quantitativos úteis à gestão e à compreensão de padrões de demanda</t>
  </si>
  <si>
    <t xml:space="preserve">Recorte restrito ao TJSP, a três instituições financeiras e a determinado período/assuntos processuais. É estudo quantitativo observacional, sem modelo causal ou IA. Resultados não devem ser generalizados automaticamente para todo o sistema bancário ou Judiciário nacional</t>
  </si>
  <si>
    <t xml:space="preserve">S22</t>
  </si>
  <si>
    <t xml:space="preserve">Poder Judiciário brasileiro, com referências ao CNJ, TJMG e STJ; abordagem nacional e institucional</t>
  </si>
  <si>
    <t xml:space="preserve">Não utiliza IA. Análise jurídico-normativa, econômica e estatística com dados institucionais</t>
  </si>
  <si>
    <t xml:space="preserve">Litigância abusiva/predatória; ajuizamento reiterado e excessivo; fracionamento de demandas; documentos e procurações suspeitos; ações artificiais ou sem lastro; abuso do direito de ação</t>
  </si>
  <si>
    <t xml:space="preserve">Relaciona acesso à Justiça, eficiência e duração razoável do processo. Examina dados do Justiça em Números, a Recomendação CNJ 159/2024 e o Tema 1.198/STJ, defendendo medidas específicas diante de indícios concretos de abuso e atuação cooperativa entre os atores do sistema para reduzir custos e congestionamento</t>
  </si>
  <si>
    <t xml:space="preserve">Não desenvolve método tecnológico de identificação. A caracterização do abuso exige análise contextual e respeito ao acesso à Justiça, evitando que mecanismos de contenção se convertam em barreiras indevidas a demandas legítimas</t>
  </si>
  <si>
    <t xml:space="preserve">S23</t>
  </si>
  <si>
    <t xml:space="preserve">Ferramentas de inteligência artificial voltadas à detecção de ações abusivas</t>
  </si>
  <si>
    <t xml:space="preserve">Litigância predatória e ações abusivas que afetam o acesso à justiça</t>
  </si>
  <si>
    <t xml:space="preserve">Demonstra a aplicação prática de recursos tecnológicos para rastrear e filtrar demandas abusivas, protegendo o núcleo do acesso à justiça.</t>
  </si>
  <si>
    <t xml:space="preserve">Análise centrada na relação entre filtros tecnológicos e o direito fundamental de acesso à justiça.</t>
  </si>
  <si>
    <t xml:space="preserve">S24</t>
  </si>
  <si>
    <t xml:space="preserve">Sistemas de inteligência artificial aplicados ao enfrentamento de demandas em massa</t>
  </si>
  <si>
    <t xml:space="preserve">Litigância em massa, direta, indireta, ilegal ou abusiva</t>
  </si>
  <si>
    <t xml:space="preserve">Analisa o uso estratégico da inteligência artificial pelo Poder Judiciário para enfrentar o volume expressivo de demandas repetitivas, salvaguardando os direitos fundamentais.</t>
  </si>
  <si>
    <t xml:space="preserve">Enfoque na interseção entre tecnologia, jurisdição e direitos fundamentais na Sociedade 4.0.</t>
  </si>
  <si>
    <t xml:space="preserve">S25</t>
  </si>
  <si>
    <t xml:space="preserve">Técnicas de inteligência artificial aplicadas ao ecossistema de justiça</t>
  </si>
  <si>
    <t xml:space="preserve">Litigância abusiva e uso estratégico de ferramentas tecnológicas</t>
  </si>
  <si>
    <t xml:space="preserve">Detalha as técnicas de inteligência artificial que apoiam o combate à litigância abusiva, ponderando os limites e riscos regulatórios na atividade jurisdicional.</t>
  </si>
  <si>
    <t xml:space="preserve">Análise crítica sobre os limites e riscos éticos e técnicos da IA no direito.</t>
  </si>
  <si>
    <t xml:space="preserve">S26</t>
  </si>
  <si>
    <t xml:space="preserve">Poder Judiciário Brasileiro (STF, STJ, TJBA, TJPE, TRT4) e Conselhos de Justiça. </t>
  </si>
  <si>
    <t xml:space="preserve">Redes neurais artificiais, algoritmos de aprendizado de máquina (machine learning), processamento de linguagem natural (NLP), aprendizado profundo (deep learning), análise preditiva e ferramentas automatizadas de triagem (ex: Sinapses).</t>
  </si>
  <si>
    <t xml:space="preserve">Litigiosidade em massa, excesso de demandas repetitivas, gargalos burocráticos operacionais crônicos e congestionamento em execuções</t>
  </si>
  <si>
    <t xml:space="preserve">Ganhos significativos de produtividade e agilidade na triagem, classificação e elaboração de minutas de decisões (ex: Sócrates 2.0 aumentou produtividade em 30% e Victor reduziu análise de 44 min para 5s).</t>
  </si>
  <si>
    <t xml:space="preserve">Riscos éticos associados a vieses de programação históricos e à falta de explicabilidade de algoritmos ("caixas-pretas"), além do risco de "engessamento" da jurisprudência e da restrição amostral à base da BDTD.</t>
  </si>
  <si>
    <t xml:space="preserve">Publicação e desenho</t>
  </si>
  <si>
    <t xml:space="preserve">Método declarado</t>
  </si>
  <si>
    <t xml:space="preserve">Base empírica explicitada</t>
  </si>
  <si>
    <t xml:space="preserve">Métricas / validação</t>
  </si>
  <si>
    <t xml:space="preserve">Conclusões compatíveis com o desenho</t>
  </si>
  <si>
    <t xml:space="preserve">Sustentação empírica</t>
  </si>
  <si>
    <t xml:space="preserve">Justificativa (com base nos campos da matriz)</t>
  </si>
  <si>
    <t xml:space="preserve">Periódico; teórico-normativo</t>
  </si>
  <si>
    <t xml:space="preserve">P</t>
  </si>
  <si>
    <t xml:space="preserve">N</t>
  </si>
  <si>
    <t xml:space="preserve">NA</t>
  </si>
  <si>
    <t xml:space="preserve">S</t>
  </si>
  <si>
    <t xml:space="preserve">Não empírica</t>
  </si>
  <si>
    <t xml:space="preserve">Estudo teórico e normativo; sem validação empírica nem mineração de dados (matriz).</t>
  </si>
  <si>
    <t xml:space="preserve">Periódico; conceitual (Justiça 4.0 e desigualdades)</t>
  </si>
  <si>
    <t xml:space="preserve">NI</t>
  </si>
  <si>
    <t xml:space="preserve">Abordagem conceitual sobre Justiça 4.0, desigualdades e exclusão digital; método e base não identificados nos campos de extração.</t>
  </si>
  <si>
    <t xml:space="preserve">Periódico; revisão bibliográfica e documental</t>
  </si>
  <si>
    <t xml:space="preserve">Limitada</t>
  </si>
  <si>
    <t xml:space="preserve">Revisão bibliográfica e documental, sem avaliação causal nem métricas dos Centros de Inteligência; autor vinculado ao TRF da 5ª Região e ao Centro Local de Inteligência da Justiça Federal no Ceará (vínculo documentado na matriz).</t>
  </si>
  <si>
    <t xml:space="preserve">Anais; levantamento de iniciativas de IA em tribunais</t>
  </si>
  <si>
    <t xml:space="preserve">Levantamento de iniciativas de IA nos tribunais (111 projetos, crescimento de 171% em 2021-2022); procedimento do levantamento não detalhado na extração.</t>
  </si>
  <si>
    <t xml:space="preserve">Monografia de especialização; design de sistemas (conceitual)</t>
  </si>
  <si>
    <t xml:space="preserve">Trabalho conceitual sobre design de sistemas, precedentes, IA e cooperação; método não identificado nos campos de extração.</t>
  </si>
  <si>
    <t xml:space="preserve">Periódico; análise de artefatos de IA e proposta de design sistêmico</t>
  </si>
  <si>
    <t xml:space="preserve">Análise de artefatos de IA do Judiciário e proposta da abordagem SoDF; não desenvolve arquitetura própria nem apresenta dados quantitativos.</t>
  </si>
  <si>
    <t xml:space="preserve">Anais; síntese de experiências institucionais</t>
  </si>
  <si>
    <t xml:space="preserve">Síntese de experiências (Arandu, Berna, Bastião); precisão de 90% do Berna sem descrição da base de teste; o 'sucesso prático' relatado excede o que a evidência apresentada permite verificar.</t>
  </si>
  <si>
    <t xml:space="preserve">Periódico; jurídico-teórico exploratório</t>
  </si>
  <si>
    <t xml:space="preserve">Estudo jurídico-teórico, exploratório e problematizador; sem validação empírica nem IA (matriz).</t>
  </si>
  <si>
    <t xml:space="preserve">Periódico; conceitual-doutrinário</t>
  </si>
  <si>
    <t xml:space="preserve">Estudo sobre a instrumentalização da litigância predatória; método e base não identificados nos campos de extração.</t>
  </si>
  <si>
    <t xml:space="preserve">Periódico; jurídico-comparado e normativo</t>
  </si>
  <si>
    <t xml:space="preserve">Análise jurídico-comparada (China, com referência aos direitos inglês e neerlandês); sem dados empíricos; a matriz registra cautela na transposição.</t>
  </si>
  <si>
    <t xml:space="preserve">Periódico; bibliográfico e indutivo, prospectivo</t>
  </si>
  <si>
    <t xml:space="preserve">Pesquisa bibliográfica e indutiva; algoritmos apresentados como possibilidades, sem treinamento, teste ou validação; ganhos de eficiência predominantemente prospectivos.</t>
  </si>
  <si>
    <t xml:space="preserve">Série editorial (IOS Press); pipeline desenvolvido e testado</t>
  </si>
  <si>
    <t xml:space="preserve">Moderada</t>
  </si>
  <si>
    <t xml:space="preserve">Pipeline com 57.075 decisões e 11.775 processos MEI, organizados em 40 tópicos; 31% de ruído no HDBSCAN; sem validação externa; o estudo não se propõe a qualificar abuso.</t>
  </si>
  <si>
    <t xml:space="preserve">Periódico; estudo institucional/regulatório (CNJ)</t>
  </si>
  <si>
    <t xml:space="preserve">Estudo sobre o papel do CNJ; afirma eficácia da IA e das diretrizes sem métricas registradas na matriz; a matriz refere metodologia PRISMA/Kitchenham sem detalhamento.</t>
  </si>
  <si>
    <t xml:space="preserve">Anais; jurídico-doutrinário qualitativo</t>
  </si>
  <si>
    <t xml:space="preserve">Estudo qualitativo, descritivo-analítico, baseado em pesquisa bibliográfica e documental; não desenvolve nem valida modelo; reconhece que a IA não alcança acurácia absoluta.</t>
  </si>
  <si>
    <t xml:space="preserve">Anais; estudo de caso institucional (TJAL)</t>
  </si>
  <si>
    <t xml:space="preserve">Estudo qualitativo sobre experiências do TJAL; 11.330 petições (Hércules) e acurácia superior a 95% (Aslan) sem descrição da base de teste; conclui pela eficácia com base em números institucionais.</t>
  </si>
  <si>
    <t xml:space="preserve">Dissertação; qualitativo, bibliográfico e documental (TJTO)</t>
  </si>
  <si>
    <t xml:space="preserve">Pesquisa qualitativa e exploratória com análise de jurisprudência, notas técnicas e relatórios institucionais; o produto é um protocolo institucional, não uma ferramenta.</t>
  </si>
  <si>
    <t xml:space="preserve">Periódico; empírico observacional (TJSP)</t>
  </si>
  <si>
    <t xml:space="preserve">Levantamento de dados judiciais do TJSP (primeiro semestre de 2023); conclusões restritas ao filtro da procuração e ao contexto analisado.</t>
  </si>
  <si>
    <t xml:space="preserve">Anais; mapeamento normativo e institucional (IA generativa)</t>
  </si>
  <si>
    <t xml:space="preserve">Mapeamento de diretrizes normativas e institucionais sobre IA generativa no TJAL; método não identificado nos campos de extração; sem base empírica.</t>
  </si>
  <si>
    <t xml:space="preserve">Dissertação; pipeline desenvolvido e testado (TJTO)</t>
  </si>
  <si>
    <t xml:space="preserve">Pipeline (OCR, Bag of Words, similaridade do cosseno) aplicado a 304 processos auditados e 1.326 comparações; sem verdade de referência para abuso; o estudo não equipara similaridade a abuso.</t>
  </si>
  <si>
    <t xml:space="preserve">Periódico; jurídico-dogmático e comparado</t>
  </si>
  <si>
    <t xml:space="preserve">Pesquisa jurídico-dogmática e comparada; sem base de dados, aplicação tecnológica ou mensuração de desempenho (matriz).</t>
  </si>
  <si>
    <t xml:space="preserve">Periódico; jurimétrico observacional (TJSP)</t>
  </si>
  <si>
    <t xml:space="preserve">Estudo quantitativo observacional (TJSP, três bancos, processos ajuizados em 2019); declara os limites de generalização.</t>
  </si>
  <si>
    <t xml:space="preserve">Periódico; jurídico-normativo e econômico, com dados institucionais</t>
  </si>
  <si>
    <t xml:space="preserve">Análise jurídico-normativa, econômica e estatística com dados institucionais (Justiça em Números); não desenvolve método tecnológico de identificação.</t>
  </si>
  <si>
    <t xml:space="preserve">Periódico; análise do uso assistivo de IA</t>
  </si>
  <si>
    <t xml:space="preserve">Alega aplicação prática de recursos tecnológicos para rastrear e filtrar ações abusivas sem que a matriz registre arquitetura própria ou métricas independentes; método não identificado.</t>
  </si>
  <si>
    <t xml:space="preserve">Periódico; conceitual (tecnologia e direitos fundamentais)</t>
  </si>
  <si>
    <t xml:space="preserve">Estudo conceitual sobre tecnologia, jurisdição e direitos fundamentais; método e base não identificados nos campos de extração.</t>
  </si>
  <si>
    <t xml:space="preserve">Monografia de graduação; revisão conceitual</t>
  </si>
  <si>
    <t xml:space="preserve">Monografia de bacharelado sobre limites e riscos da IA jurídica; método e base não identificados nos campos de extração.</t>
  </si>
  <si>
    <t xml:space="preserve">Periódico; revisão da produção acadêmica brasileira (BDTD)</t>
  </si>
  <si>
    <t xml:space="preserve">Panorama da produção acadêmica (BDTD, 2019-2024) com restrição amostral reconhecida; reporta métricas institucionais de terceiros (Sócrates 2.0, Victor) sem validação independente.</t>
  </si>
  <si>
    <t xml:space="preserve">Critérios: S = atende; P = atende parcialmente; N = não atende; NA = não se aplica; NI = não identificado nos campos de extração. Sustentação: moderada (método S e base S); não empírica (base N e métricas NA); limitada nos demais casos. Apreciação qualitativa, retrospectiva, sem função de exclusão (Seção 3.3.3 do artigo). Classificações NI devem ser conferidas no texto integral.</t>
  </si>
  <si>
    <t xml:space="preserve">Observações / limitações registradas na extração</t>
  </si>
  <si>
    <t xml:space="preserve">Motivo da não incorporação ao corpus</t>
  </si>
  <si>
    <t xml:space="preserve">Tribunal de Justiça de Santa Catarina (TJSC) e Ministério Público do Estado do Rio de Janeiro (MPRJ)</t>
  </si>
  <si>
    <t xml:space="preserve">depende de validação humana e não trata de litigância abusiva, nem de perfilamento de litigantes</t>
  </si>
  <si>
    <t xml:space="preserve">Não atingiu o limiar operacional de essencialidade (9-10) adotado para a síntese principal; decisão de delimitação, sem juízo de baixa qualidade metodológica (Seções 3.3.4 e 6).</t>
  </si>
  <si>
    <t xml:space="preserve">Poder Judiciário Brasileiro (incluindo Centros de Justiça 4.0 e atuação do CNJ)</t>
  </si>
  <si>
    <t xml:space="preserve">digitalização e o amplo acesso à justiça geraram disfunções, como o aumento da litigância abusiva facilitada por baixos custos tecnológicos e uso de documentos forjados.</t>
  </si>
  <si>
    <t xml:space="preserve">Base CaseHOLD, voltada à identificação de teses jurídicas em decisões judiciais. O resumo não identifica tribunal específico.</t>
  </si>
  <si>
    <t xml:space="preserve">O resumo aponta limitações atuais dos LLMs em tarefas jurídicas e destaca implicações para o desenvolvimento e medição de legal analytics. Não trata de litigância abusiva ou perfilamento de litigantes.</t>
  </si>
  <si>
    <t xml:space="preserve">Tribunal de Justiça Estadual brasileiro, com avaliação em casos de primeira instância. O resumo não identifica o tribunal específico.</t>
  </si>
  <si>
    <t xml:space="preserve">O resumo aponta desafio técnico na geração abstrativa, identificado pelas métricas lexicais. Não trata de litigância abusiva, mas possui alta aderência ao eixo de Inteligência Judicial e apoio à decisão.</t>
  </si>
  <si>
    <t xml:space="preserve">Poder Judiciário italiano. Abrange Tribunal de Cassação, Tribunais de Apelação, Tribunais Ordinários, Ministério da Justiça e Conselho Superior da Magistratura.</t>
  </si>
  <si>
    <t xml:space="preserve">Limitações metodológicas: estudo qualitativo baseado em literatura e estatísticas secundárias; não utiliza mineração de dados, aprendizado de máquina, Inteligência Artificial ou análise automática de processos. Não propõe modelos preditivos. As conclusões concentram-se no sistema italiano, embora os autores indiquem possibilidade de aplicação a outros países com estruturas semelhantes de governança judicial. Sob a perspectiva ética, destaca riscos decorrentes da fragmentação institucional, baixa transparência, interferência política na nomeação de magistrados e ausência de mecanismos integrados de governança e avaliação</t>
  </si>
  <si>
    <t xml:space="preserve">Sistema Judiciário Brasileiro</t>
  </si>
  <si>
    <t xml:space="preserve">Os autores reconhecem:  escassez de pesquisas empíricas sobre administração do Judiciário;
reduzido número de estudos voltados especificamente ao Judiciário brasileiro.</t>
  </si>
  <si>
    <t xml:space="preserve">Esfera analisada: Poder Judiciário de Taiwan, contemplando processos cíveis e criminais.</t>
  </si>
  <si>
    <t xml:space="preserve">As principais limitações referem-se ao fato de o estudo medir aceitação pública, e não desempenho real de sistemas de IA. A pesquisa restringe-se ao contexto de Taiwan, limitando a generalização internacional. Entre os aspectos éticos destacam-se: preservação do devido processo legal, necessidade de supervisão humana, transparência algorítmica, privacidade dos dados, explicabilidade dos sistemas e preservação do julgamento humano em decisões moralmente sensíveis. O estudo conclui que a IA deve atuar como ferramenta de apoio à decisão, e não como substituta do magistrado.</t>
  </si>
  <si>
    <t xml:space="preserve">Supremo Tribunal Federal — STF</t>
  </si>
  <si>
    <t xml:space="preserve">Não trata de litigância abusiva, mas tem alta utilidade para inteligência judicia</t>
  </si>
  <si>
    <t xml:space="preserve">Supremo Tribunal Federal — STF; recursos extraordinários e temas de repercussão geral</t>
  </si>
  <si>
    <t xml:space="preserve">Regulação do uso de dados judiciais (Judicial Analytics) em diferentes sistemas de justiça. O resumo menciona a legislação francesa de 2019 como marco regulatório, mas não restringe o estudo a um único tribunal.</t>
  </si>
  <si>
    <t xml:space="preserve">Não apresenta arquitetura de IA nem identifica padrões de litigiosidade, mas contribui para a governança de dados judiciais.</t>
  </si>
  <si>
    <t xml:space="preserve">Sistema Judiciário do Reino Unido, analisando decisões de summary judgment.</t>
  </si>
  <si>
    <t xml:space="preserve">MSL, apresenta elevada aderência por utilizar IA para classificação automática de decisões judiciais, embora não trate de litigância abusiva ou perfilamento de litigantes.</t>
  </si>
  <si>
    <t xml:space="preserve">Sistema jurídico brasileiro, avaliando tarefas jurídicas relacionadas à legislação, precedentes e documentos legais.</t>
  </si>
  <si>
    <t xml:space="preserve">O resumo identifica limitações importantes: alucinações persistem mesmo com engenharia de prompts; não existe modelo superior para todas as tarefas; modelos mais recentes nem sempre apresentam melhor desempenho. Em relação ao MSL, não aborda litigância abusiva, mas possui elevada aderência em IA aplicada ao Direito.</t>
  </si>
  <si>
    <t xml:space="preserve">UK Employment Tribunal (UKET), com análise de decisões trabalhistas do Reino Unido.</t>
  </si>
  <si>
    <t xml:space="preserve">apresenta elevada aderência à extração de dados jurídicos e inteligência judicial.</t>
  </si>
  <si>
    <t xml:space="preserve">Sistema de Justiça brasileiro, com enfoque na redução da litigiosidade antes do ajuizamento da demanda.</t>
  </si>
  <si>
    <t xml:space="preserve">O resumo informa uso de raciocínio dedutivo, análise cartesiana e exame quantitativo e qualitativo de relatórios oficiais e literatura jurídica. Não apresenta modelo técnico de IA nem mineração de dados processuais.</t>
  </si>
  <si>
    <t xml:space="preserve">Poder Judiciário brasileiro; Justiça Federal, Estadual e do Trabalho; CNJ e Centros de Inteligência locais</t>
  </si>
  <si>
    <t xml:space="preserve">Revisão narrativa histórica e qualitativa, sem teste causal de impacto. Sistemas processuais ainda não avaliam qualitativamente o conteúdo judicializado. Desafios: legitimação institucional, interoperabilidade, dados, PLN e risco de manter foco gerencial apenas quantitativo</t>
  </si>
  <si>
    <t xml:space="preserve">Suprema Corte dos Estados Unidos, com base de 236 pares de casos para identificação de relações de superação de precedentes (overruling).</t>
  </si>
  <si>
    <t xml:space="preserve">O próprio resumo aponta limitações dos modelos: sensibilidade temporal, raciocínio superficial e falhas dependentes do contexto. Em relação ao MSL, tem aderência à IA jurídica e governança de precedentes, mas não trata de litigância abusiva ou gestão da litigiosidade.</t>
  </si>
  <si>
    <t xml:space="preserve">Supremo Tribunal Federal (STF), com análise de cinco súmulas vinculantes: 11, 14, 17, 26 e 37.</t>
  </si>
  <si>
    <t xml:space="preserve">O resumo aponta que não é possível identificar uma causa única para a falha das súmulas vinculantes em responder às demandas repetitivas. Em relação ao MSL, possui alta aderência por combinar IA, classificação de casos, precedentes e análise empírica de litigiosidade repetitiva no STF.</t>
  </si>
  <si>
    <t xml:space="preserve">Poder Judiciário Brasileiro, CNJ e Tribunais locais (Esferas cível, criminal e de família).</t>
  </si>
  <si>
    <t xml:space="preserve">Risco iminente à segurança jurídica e ao devido processo legal devido à fragmentação regulatória e falta de governança centralizada; propõe regulação específica, Comitê Nacional de Governança e programa nacional de certificação técnica de sistemas.</t>
  </si>
  <si>
    <t xml:space="preserve">Poder Judiciário Brasileiro (Justiça do Trabalho, STJ, STF, CNJ).</t>
  </si>
  <si>
    <t xml:space="preserve">O debate do Tema 1.198 do STJ fixou que a exigência de documentos adicionais deve ser excepcional e fundamentada, vedando extinções automáticas; o  nfrentamento exige o fino equilíbrio de coibir abusos sem restringir o direito de ação ou criminalizar a advocacia legítima.</t>
  </si>
  <si>
    <t xml:space="preserve">Sistema Judiciário da China e do Brasil, em estudo comparativo sobre adoção de Inteligência Artificial na atividade jurisdicional.</t>
  </si>
  <si>
    <t xml:space="preserve">não apresenta arquitetura de IA, mineração de dados judiciais, identificação de padrões processuais ou litigância abusiva, restringindo-se à análise jurídico-comparativa</t>
  </si>
  <si>
    <t xml:space="preserve">Tribunais brasileiros, utilizando 10 anos de dados dos Court Case Management Systems (CCMS). O estudo informa que 97,2% dos processos brasileiros já tramitavam em formato digital.</t>
  </si>
  <si>
    <t xml:space="preserve">o resumo destaca a escassez de estudos empíricos sobre os efeitos da tecnologia da informação no Judiciário. não utiliza IA, não identifica padrões de litigância abusiva nem comportamento de litigantes.</t>
  </si>
  <si>
    <t xml:space="preserve">STF/UNB (Repercussão Geral e da triagem dos Recursos Extraordinários)</t>
  </si>
  <si>
    <t xml:space="preserve">Não trata de litigância abusiva; problema dos vieses e  hipernormatização artificial (generalização indevida da norma extraída do precedente, desconsidera as particularidades fáticas e jurídicas)</t>
  </si>
  <si>
    <t xml:space="preserve">Três unidades dos Juizados Especiais brasileiros.</t>
  </si>
  <si>
    <t xml:space="preserve">O resumo informa que o tema recebeu atenção limitada em pesquisas anteriores. Em relação ao MSL, não aborda litigância abusiva, mas tem alta aderência à identificação de padrões processuais e à gestão judicial baseada em dados.</t>
  </si>
  <si>
    <t xml:space="preserve">Superior Tribunal de Justiça (STJ) e análise comparativa de institutos previstos em ordenamentos jurídicos estrangeiros. O estudo examina a construção jurisprudencial do assédio processual pelo STJ e compara mecanismos de repressão a condutas processuais abusivas em outros países.</t>
  </si>
  <si>
    <t xml:space="preserve">embora trate diretamente de litigância abusiva e represente importante referencial conceitual, o estudo não utiliza Inteligência Artificial, ciência de dados, mineração de processos, analytics ou Inteligência Judicial, tampouco propõe arquitetura tecnológica para identificação automática dessas condutas. Sua contribuição é eminentemente dogmática e comparada.</t>
  </si>
  <si>
    <t xml:space="preserve">Poder Judiciário Brasileiro. Analisa a utilização da Inteligência Artificial pelos tribunais brasileiros e a regulamentação editada pelo Conselho Nacional de Justiça (CNJ).</t>
  </si>
  <si>
    <t xml:space="preserve">Estudo jurídico-normativo sobre transformação digital do Judiciário brasileiro. O resumo não apresenta limitações metodológicas nem descreve algoritmos específicos de IA</t>
  </si>
  <si>
    <t xml:space="preserve">uizado Especial Cível da Universidade Federal de Santa Catarina — JEC-UFSC; disputas de transporte aéreo e dano moral</t>
  </si>
  <si>
    <t xml:space="preserve">m relação ao MSL, não trata de litigância abusiva, mas contribui para gestão consensual de conflitos</t>
  </si>
  <si>
    <t xml:space="preserve">Poder Judiciário Brasileiro. Estuda a Reclamação e o Incidente de Resolução de Demandas Repetitivas (IRDR) previstos no CPC/2015.</t>
  </si>
  <si>
    <t xml:space="preserve">Estudo baseado em dois casos concretos. Não informa limitações metodológicas nem aspectos éticos específicos relacionados à IA.</t>
  </si>
  <si>
    <t xml:space="preserve">Superior Tribunal de Justiça (STJ). O estudo analisa 282.040 acórdãos relacionados ao direito empresarial produzidos entre 2008 e 2018.</t>
  </si>
  <si>
    <t xml:space="preserve">os dados estavam disponíveis apenas em texto integral, exigindo extração automática das citações. não aborda Inteligência Artificial, litigância abusiva, perfis de litigantes ou apoio à identificação de demandas repetitivas; concentra-se na análise quantitativa de precedentes.</t>
  </si>
  <si>
    <t xml:space="preserve">Tribunal de Contas da União / Brazilian Federal Court of Accounts.</t>
  </si>
  <si>
    <t xml:space="preserve">Reconhece limitações atuais dos LLMs e recomenda otimismo cauteloso. não trata de litigância abusiva, mas tem alta aderência à IA aplicada ao sistema de justiça e apoio decisório.</t>
  </si>
  <si>
    <t xml:space="preserve">Brasil; Conselho Administrativo de Defesa Econômica (CADE); direito concorrencial e interface com o processo civil</t>
  </si>
  <si>
    <t xml:space="preserve">Estudo jurídico, sem IA, mineração de dados ou modelo de detecção automática. Aderência ao MSL ocorre pela caracterização normativa de litigância abusiva, não pelo eixo tecnológico.</t>
  </si>
  <si>
    <t xml:space="preserve">Brasil; Conselho Administrativo de Defesa Econômica (CADE), com comparação aos Estados Unidos</t>
  </si>
  <si>
    <t xml:space="preserve">Não emprega ciência de dados, IA ou modelo automatizado. Forte contribuição para operacionalização jurídica de critérios de identificação de litigância abusiva.</t>
  </si>
  <si>
    <t xml:space="preserve">Estados Unidos; ações de difamação, Primeira Emenda e Rule 11</t>
  </si>
  <si>
    <t xml:space="preserve">Não há validação computacional nem base de dados judicial automatizada. Alta utilidade para o MSL por fornecer fatores observáveis que podem servir como variáveis de detecção de padrão abusivo.</t>
  </si>
  <si>
    <t xml:space="preserve">Argentina/perspectiva latino-americana; liberdade de expressão, atores públicos e privados</t>
  </si>
  <si>
    <t xml:space="preserve">Não realiza análise empírica automatizada nem propõe tecnologia de detecção. Contribuição relevante para o eixo de acesso responsável à justiça e impacto democrático do abuso processual.</t>
  </si>
  <si>
    <t xml:space="preserve">Portugal (periódico); União Europeia; concorrência e setor farmacêutico</t>
  </si>
  <si>
    <t xml:space="preserve">Não apresenta método computacional; útil para caracterizar motivação estratégica e efeitos anticoncorrenciais.</t>
  </si>
  <si>
    <t xml:space="preserve">Fonte</t>
  </si>
  <si>
    <t xml:space="preserve">String ou palavras-chave registradas</t>
  </si>
  <si>
    <t xml:space="preserve">Campo/filtros anotados</t>
  </si>
  <si>
    <t xml:space="preserve">Registros incorporados (n)</t>
  </si>
  <si>
    <t xml:space="preserve">"análise de perfil litigante" OR "acesso responsável à justiça" OR "acesso à justiça"</t>
  </si>
  <si>
    <t xml:space="preserve">Busca livre/campo não especificado</t>
  </si>
  <si>
    <t xml:space="preserve">"Litigância Abusiva" AND "Inteligência" AND "Governança"</t>
  </si>
  <si>
    <t xml:space="preserve">"litigância predatória" AND "poder judiciário" AND "inteligência artificial"</t>
  </si>
  <si>
    <t xml:space="preserve">"inteligência artificial" AND "litigância abusiva" AND "sistema judicial"</t>
  </si>
  <si>
    <t xml:space="preserve">"sham litigation" OR "abuso do direito de petição"</t>
  </si>
  <si>
    <t xml:space="preserve">"CNJ" AND "litigância predatória" AND "inteligência artificial"</t>
  </si>
  <si>
    <t xml:space="preserve">"frivolous claims" AND attorney discipline AND litigation</t>
  </si>
  <si>
    <t xml:space="preserve">"frivolous defenses" AND Rule 8 AND litigation</t>
  </si>
  <si>
    <t xml:space="preserve">"frivolous defenses" AND litigation AND civil procedure</t>
  </si>
  <si>
    <t xml:space="preserve">"frivolous litigation" OR "frivolous SLAPP suits" OR SLAPP</t>
  </si>
  <si>
    <t xml:space="preserve">"frivolous litigation" OR "frivolous lawsuits" AND "fee-shifting"</t>
  </si>
  <si>
    <t xml:space="preserve">"inteligência artificial" AND "poder judiciário" AND "litigância abusiva"</t>
  </si>
  <si>
    <t xml:space="preserve">"litigância predatória" AND "inteligência artificial" AND "poder judiciário"</t>
  </si>
  <si>
    <t xml:space="preserve">"litigância repetitiva" AND "inteligência artificial" AND "cooperação judiciária"</t>
  </si>
  <si>
    <t xml:space="preserve">"poder judiciário" AND "litigância em massa" AND "inteligência artificial"</t>
  </si>
  <si>
    <t xml:space="preserve">"sham litigation" AND Brasil OR CADE</t>
  </si>
  <si>
    <t xml:space="preserve">"sham litigation" AND administração pública AND licitação</t>
  </si>
  <si>
    <t xml:space="preserve">"sham litigation" AND patent assertion entities AND antitrust</t>
  </si>
  <si>
    <t xml:space="preserve">"sham litigation" AND tax OR "tax deferment"</t>
  </si>
  <si>
    <t xml:space="preserve">"vexatious litigation" OR "vexatious litigant"</t>
  </si>
  <si>
    <t xml:space="preserve">SLAPP OR "Strategic Lawsuits Against Public Participation" AND European Union</t>
  </si>
  <si>
    <t xml:space="preserve">SLAPP OR "Strategic Lawsuits against Public Participation" AND "rule of law"</t>
  </si>
  <si>
    <t xml:space="preserve">SLAPP OR "Strategic litigation against public participation" AND GDPR</t>
  </si>
  <si>
    <t xml:space="preserve">SLAPP OR "Strategic litigation against public participation" OR "anti-SLAPP"</t>
  </si>
  <si>
    <t xml:space="preserve">SLAPP OR "litigio contra la participación pública" OR "demandas estratégicas contra la participación pública"</t>
  </si>
  <si>
    <t xml:space="preserve">Outras fontes</t>
  </si>
  <si>
    <t xml:space="preserve">"abusive litigation" OR "predatory litigation" OR "litigation abuse" OR "frivolous litigation" OR "frivolous lawsuit*" OR "vexatious litigation" OR "vexatious litigant*" OR "procedural abuse" OR "abuse of process" OR "mass litigation" OR "repetitive litigation" OR "serial litigation" OR "repeat litigant*" and "judicial governance" OR "court governance" OR "digital governance" OR "judicial administration" OR "court administration" OR "judicial management" OR "court management" OR "case management" OR "judicial policy" OR "judicial policies" OR "public policy" OR "public policies" OR "judicial system" OR judiciary OR courts</t>
  </si>
  <si>
    <t xml:space="preserve">"frivolous litigation" AND health litigation AND Brazil</t>
  </si>
  <si>
    <t xml:space="preserve">"litigância frívola" AND taxas processuais AND acesso à justiça</t>
  </si>
  <si>
    <t xml:space="preserve">"sham litigation" OR "vexatious litigation" AND patent portfolios</t>
  </si>
  <si>
    <t xml:space="preserve">("artificial intelligence" OR "machine learning" OR "text mining") AND ("legal sector" OR "judiciary") AND ("abusive litigation" OR "frivolous litigation" OR "predatory litigation" OR "litigation management" OR "mass torts")</t>
  </si>
  <si>
    <t xml:space="preserve">("predatory litigation" OR "abusive litigation" OR "sham litigation") AND ("artificial intelligence" OR "automation" OR "digital procedure") AND ("judicial efficiency" OR "backlogs")</t>
  </si>
  <si>
    <t xml:space="preserve">Acesso à Justiça; Inteligência Artificial; Governança; Valor Público.</t>
  </si>
  <si>
    <t xml:space="preserve">Inteligência Artificial; Machine Learning; Poder Judiciário; Publicidade; Igualdade.</t>
  </si>
  <si>
    <t xml:space="preserve">Litigância Predatória; Conselho Nacional de Justiça; Acesso à Justiça;Abuso processual.</t>
  </si>
  <si>
    <t xml:space="preserve">Litigância predatória; Sustentabilidade do Judiciário; Jurimetria; Abuso de direito de ação.</t>
  </si>
  <si>
    <t xml:space="preserve">inteligência artificial; Poder Judiciário; governança digital; processo judicial; regulação das práticas processuais por meio eletrônico; processo civil; automação judicial; segurança jurídica; transformação digital; machine learning; legal tech.</t>
  </si>
  <si>
    <t xml:space="preserve">inteligência artificial; litigância predatória; systema judicial; eficiência.</t>
  </si>
  <si>
    <t xml:space="preserve">inteligência artificial; poder judiciário; produção acadêmica.</t>
  </si>
  <si>
    <t xml:space="preserve">"Court Intelligence"/período 2020-2026; país Brasil/EUA; Acesso Aberto</t>
  </si>
  <si>
    <t xml:space="preserve">Campo não especificado; período/país/acesso conforme a expressão</t>
  </si>
  <si>
    <t xml:space="preserve">"Demandas Repetitivas" AND "Inteligência Artificial" (Todos os Campos)</t>
  </si>
  <si>
    <t xml:space="preserve">Todos os campos; demais filtros integrados à expressão</t>
  </si>
  <si>
    <t xml:space="preserve">"Judicial intelligence center"/países BRASIL OU EUA / ANOS 2020-2026/ ACESSO ABERTO</t>
  </si>
  <si>
    <t xml:space="preserve">"litigância predatória"</t>
  </si>
  <si>
    <t xml:space="preserve">"artificial intelligence" OR "machine learning" AND "criminal justice" OR "e-justice" OR "courtroom" OR "e-process"</t>
  </si>
  <si>
    <t xml:space="preserve">strategic litigation/ países Brasil ou EUA/ ano 2020-2026/Acesso Aberto</t>
  </si>
  <si>
    <t xml:space="preserve">"judicial intelligence" (todos os campos): 2020-2026; Brasil; EUA; acesso aberto</t>
  </si>
  <si>
    <t xml:space="preserve">"digital governance" OR "judicial governance" OR "court management" OR "decision support"</t>
  </si>
  <si>
    <t xml:space="preserve">intelligence center judicial (todos os campos): 2020-2026; Brasil; EUA; acesso aberto</t>
  </si>
  <si>
    <t xml:space="preserve">"torts of abuse of process"/ BRASIL E EUA/ Anos 2020-2026</t>
  </si>
  <si>
    <t xml:space="preserve">"repetitive demand" and "intelligence"/Anos 2020-2026/ País Brasil</t>
  </si>
  <si>
    <t xml:space="preserve">"abuse of process" and " intelligence artificial"/ anos 2020-2026/ países: England or Spanich ou Canada ou Brazil or Germany or France or Italy or Portugal</t>
  </si>
  <si>
    <t xml:space="preserve">"judicial intelligence" AND "litigation"" (todos os caminhos)/países BRASIL OU EUA / ANOS 2020-2026/ ACESSO ABERTO</t>
  </si>
  <si>
    <t xml:space="preserve">"artificial intelligence" AND " in the judiciary"</t>
  </si>
  <si>
    <t xml:space="preserve">"judicial intelligence" AND "court intelligence" (todos os caminhos) AND "litigation"/países BRASIL OU EUA / ANOS 2020-2026/ ACESSO ABERTO</t>
  </si>
  <si>
    <t xml:space="preserve">"judicial intelligence" AND "court intelligence" (todos os caminhos)/países BRASIL OU EUA / ANOS 2020-2026/ ACESSO ABERTO</t>
  </si>
  <si>
    <t xml:space="preserve">Strategic Lawsuits" AND "Digital Governance" area: law</t>
  </si>
  <si>
    <t xml:space="preserve">Área jurídica; demais filtros integrados à expressão</t>
  </si>
  <si>
    <t xml:space="preserve">intelligence artificial (todos os campos) and litigation management (todos os campos) refinamento:acesso aberto/ anos de publicação 202-2026, paíse EUA /BRASIL</t>
  </si>
  <si>
    <t xml:space="preserve">"Nuisance Value"</t>
  </si>
  <si>
    <t xml:space="preserve">"Strategic Lawsuits" AND "Digital Governance"</t>
  </si>
  <si>
    <t xml:space="preserve">intelligence artificial (todos os campos) and litigation management (todos os campos) refinamento:acesso aberto/ anos de publicação 2020-2026, paíse EUA /BRASIL/áerea de pesquisa governo direito, ciência , tecnologia</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</si>
</sst>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9"/>
      <name val="Arial"/>
      <family val="0"/>
      <charset val="1"/>
    </font>
    <font>
      <sz val="9"/>
      <name val="Arial"/>
      <family val="0"/>
      <charset val="1"/>
    </font>
    <font>
      <i val="true"/>
      <sz val="9"/>
      <name val="Arial"/>
      <family val="0"/>
      <charset val="1"/>
    </font>
  </fonts>
  <fills count="3">
    <fill>
      <patternFill patternType="none"/>
    </fill>
    <fill>
      <patternFill patternType="gray125"/>
    </fill>
    <fill>
      <patternFill patternType="solid">
        <fgColor rgb="FFD9EAF7"/>
        <bgColor rgb="FFCCFFFF"/>
      </patternFill>
    </fill>
  </fills>
  <borders count="3">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 diagonalUp="false" diagonalDown="false">
      <left/>
      <right style="thin">
        <color rgb="FFBBBBBB"/>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left" vertical="top"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D9EAF7"/>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20"/>
  </cols>
  <sheetData>
    <row r="1" customFormat="false" ht="15" hidden="false" customHeight="false" outlineLevel="0" collapsed="false">
      <c r="A1" s="1" t="s">
        <v>0</v>
      </c>
      <c r="B1" s="1" t="s">
        <v>1</v>
      </c>
    </row>
    <row r="2" customFormat="false" ht="23.85" hidden="false" customHeight="false" outlineLevel="0" collapsed="false">
      <c r="A2" s="2" t="s">
        <v>2</v>
      </c>
      <c r="B2" s="3" t="s">
        <v>3</v>
      </c>
    </row>
    <row r="3" customFormat="false" ht="23.85" hidden="false" customHeight="false" outlineLevel="0" collapsed="false">
      <c r="A3" s="2" t="s">
        <v>4</v>
      </c>
      <c r="B3" s="3" t="s">
        <v>5</v>
      </c>
    </row>
    <row r="4" customFormat="false" ht="23.85" hidden="false" customHeight="false" outlineLevel="0" collapsed="false">
      <c r="A4" s="2" t="s">
        <v>6</v>
      </c>
      <c r="B4" s="3" t="s">
        <v>7</v>
      </c>
    </row>
    <row r="5" customFormat="false" ht="23.85" hidden="false" customHeight="false" outlineLevel="0" collapsed="false">
      <c r="A5" s="2" t="s">
        <v>8</v>
      </c>
      <c r="B5" s="3" t="s">
        <v>9</v>
      </c>
    </row>
    <row r="6" customFormat="false" ht="23.85" hidden="false" customHeight="false" outlineLevel="0" collapsed="false">
      <c r="A6" s="2" t="s">
        <v>10</v>
      </c>
      <c r="B6" s="3" t="s">
        <v>11</v>
      </c>
    </row>
    <row r="7" customFormat="false" ht="15" hidden="false" customHeight="false" outlineLevel="0" collapsed="false">
      <c r="A7" s="2" t="s">
        <v>12</v>
      </c>
      <c r="B7" s="3" t="s">
        <v>13</v>
      </c>
    </row>
    <row r="8" customFormat="false" ht="15" hidden="false" customHeight="false" outlineLevel="0" collapsed="false">
      <c r="A8" s="2" t="s">
        <v>14</v>
      </c>
      <c r="B8" s="3" t="s">
        <v>15</v>
      </c>
    </row>
    <row r="9" customFormat="false" ht="23.85" hidden="false" customHeight="false" outlineLevel="0" collapsed="false">
      <c r="A9" s="2" t="s">
        <v>16</v>
      </c>
      <c r="B9" s="3" t="s">
        <v>17</v>
      </c>
    </row>
    <row r="10" customFormat="false" ht="15" hidden="false" customHeight="false" outlineLevel="0" collapsed="false">
      <c r="A10" s="2"/>
      <c r="B10" s="3"/>
    </row>
    <row r="11" customFormat="false" ht="23.85" hidden="false" customHeight="false" outlineLevel="0" collapsed="false">
      <c r="A11" s="1" t="s">
        <v>18</v>
      </c>
      <c r="B11" s="1" t="s">
        <v>19</v>
      </c>
    </row>
    <row r="12" customFormat="false" ht="15" hidden="false" customHeight="false" outlineLevel="0" collapsed="false">
      <c r="A12" s="2" t="s">
        <v>20</v>
      </c>
      <c r="B12" s="4" t="n">
        <f aca="false">COUNTA('MS4 Registros (208)'!A2:A209)</f>
        <v>208</v>
      </c>
    </row>
    <row r="13" customFormat="false" ht="15" hidden="false" customHeight="false" outlineLevel="0" collapsed="false">
      <c r="A13" s="2" t="s">
        <v>21</v>
      </c>
      <c r="B13" s="4" t="n">
        <f aca="false">COUNTIF('MS4 Registros (208)'!B2:B209,"Web of Science")</f>
        <v>100</v>
      </c>
    </row>
    <row r="14" customFormat="false" ht="15" hidden="false" customHeight="false" outlineLevel="0" collapsed="false">
      <c r="A14" s="2" t="s">
        <v>22</v>
      </c>
      <c r="B14" s="4" t="n">
        <f aca="false">COUNTIF('MS4 Registros (208)'!B2:B209,"Scopus")</f>
        <v>41</v>
      </c>
    </row>
    <row r="15" customFormat="false" ht="15" hidden="false" customHeight="false" outlineLevel="0" collapsed="false">
      <c r="A15" s="2" t="s">
        <v>23</v>
      </c>
      <c r="B15" s="4" t="n">
        <f aca="false">COUNTIF('MS4 Registros (208)'!B2:B209,"Google Scholar")</f>
        <v>47</v>
      </c>
    </row>
    <row r="16" customFormat="false" ht="15" hidden="false" customHeight="false" outlineLevel="0" collapsed="false">
      <c r="A16" s="2" t="s">
        <v>24</v>
      </c>
      <c r="B16" s="4" t="n">
        <f aca="false">COUNTIF('MS4 Registros (208)'!B2:B209,"Outras*")</f>
        <v>20</v>
      </c>
    </row>
    <row r="17" customFormat="false" ht="15" hidden="false" customHeight="false" outlineLevel="0" collapsed="false">
      <c r="A17" s="2" t="s">
        <v>25</v>
      </c>
      <c r="B17" s="4" t="n">
        <f aca="false">COUNTIF('MS4 Registros (208)'!L2:L209,"0-2*")</f>
        <v>63</v>
      </c>
    </row>
    <row r="18" customFormat="false" ht="15" hidden="false" customHeight="false" outlineLevel="0" collapsed="false">
      <c r="A18" s="2" t="s">
        <v>26</v>
      </c>
      <c r="B18" s="4" t="n">
        <f aca="false">COUNTIF('MS4 Registros (208)'!L2:L209,"3-4*")</f>
        <v>34</v>
      </c>
    </row>
    <row r="19" customFormat="false" ht="15" hidden="false" customHeight="false" outlineLevel="0" collapsed="false">
      <c r="A19" s="2" t="s">
        <v>27</v>
      </c>
      <c r="B19" s="4" t="n">
        <f aca="false">COUNTIF('MS4 Registros (208)'!L2:L209,"5-6*")</f>
        <v>48</v>
      </c>
    </row>
    <row r="20" customFormat="false" ht="15" hidden="false" customHeight="false" outlineLevel="0" collapsed="false">
      <c r="A20" s="2" t="s">
        <v>28</v>
      </c>
      <c r="B20" s="4" t="n">
        <f aca="false">COUNTIF('MS4 Registros (208)'!L2:L209,"7-8*")</f>
        <v>34</v>
      </c>
    </row>
    <row r="21" customFormat="false" ht="15" hidden="false" customHeight="false" outlineLevel="0" collapsed="false">
      <c r="A21" s="2" t="s">
        <v>29</v>
      </c>
      <c r="B21" s="4" t="n">
        <f aca="false">COUNTIF('MS4 Registros (208)'!L2:L209,"9-10*")</f>
        <v>29</v>
      </c>
    </row>
    <row r="22" customFormat="false" ht="15" hidden="false" customHeight="false" outlineLevel="0" collapsed="false">
      <c r="A22" s="2" t="s">
        <v>30</v>
      </c>
      <c r="B22" s="4" t="n">
        <f aca="false">COUNTIF('MS4 Registros (208)'!N2:N209,"*duplicidade removida*")</f>
        <v>2</v>
      </c>
    </row>
    <row r="23" customFormat="false" ht="15" hidden="false" customHeight="false" outlineLevel="0" collapsed="false">
      <c r="A23" s="2" t="s">
        <v>31</v>
      </c>
      <c r="B23" s="4" t="n">
        <f aca="false">COUNTIF('MS4 Registros (208)'!N2:N209,"*pertinência temática*")</f>
        <v>1</v>
      </c>
    </row>
    <row r="24" customFormat="false" ht="15" hidden="false" customHeight="false" outlineLevel="0" collapsed="false">
      <c r="A24" s="2" t="s">
        <v>32</v>
      </c>
      <c r="B24" s="4" t="n">
        <f aca="false">COUNTIF('MS4 Registros (208)'!N2:N209,"Incluído no corpus final*")</f>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32"/>
    <col collapsed="false" customWidth="true" hidden="false" outlineLevel="0" max="4" min="4" style="0" width="34"/>
    <col collapsed="false" customWidth="true" hidden="false" outlineLevel="0" max="5" min="5" style="0" width="50"/>
    <col collapsed="false" customWidth="true" hidden="false" outlineLevel="0" max="6" min="6" style="0" width="20"/>
    <col collapsed="false" customWidth="true" hidden="false" outlineLevel="0" max="7" min="7" style="0" width="14"/>
    <col collapsed="false" customWidth="true" hidden="false" outlineLevel="0" max="8" min="8" style="0" width="20"/>
    <col collapsed="false" customWidth="true" hidden="false" outlineLevel="0" max="9" min="9" style="0" width="14"/>
    <col collapsed="false" customWidth="true" hidden="false" outlineLevel="0" max="10" min="10" style="0" width="20"/>
    <col collapsed="false" customWidth="true" hidden="false" outlineLevel="0" max="11" min="11" style="0" width="14"/>
    <col collapsed="false" customWidth="true" hidden="false" outlineLevel="0" max="12" min="12" style="0" width="20"/>
    <col collapsed="false" customWidth="true" hidden="false" outlineLevel="0" max="13" min="13" style="0" width="24"/>
    <col collapsed="false" customWidth="true" hidden="false" outlineLevel="0" max="14" min="14" style="0" width="48"/>
  </cols>
  <sheetData>
    <row r="1" customFormat="false" ht="22.35" hidden="false" customHeight="false" outlineLevel="0" collapsed="false">
      <c r="A1" s="5" t="s">
        <v>33</v>
      </c>
      <c r="B1" s="5" t="s">
        <v>34</v>
      </c>
      <c r="C1" s="5" t="s">
        <v>35</v>
      </c>
      <c r="D1" s="5" t="s">
        <v>36</v>
      </c>
      <c r="E1" s="5" t="s">
        <v>37</v>
      </c>
      <c r="F1" s="5" t="s">
        <v>38</v>
      </c>
      <c r="G1" s="5" t="s">
        <v>39</v>
      </c>
      <c r="H1" s="5" t="s">
        <v>40</v>
      </c>
      <c r="I1" s="5" t="s">
        <v>41</v>
      </c>
      <c r="J1" s="5" t="s">
        <v>42</v>
      </c>
      <c r="K1" s="5" t="s">
        <v>43</v>
      </c>
      <c r="L1" s="5" t="s">
        <v>8</v>
      </c>
      <c r="M1" s="5" t="s">
        <v>44</v>
      </c>
      <c r="N1" s="5" t="s">
        <v>45</v>
      </c>
    </row>
    <row r="2" customFormat="false" ht="43.25" hidden="false" customHeight="false" outlineLevel="0" collapsed="false">
      <c r="A2" s="6" t="s">
        <v>46</v>
      </c>
      <c r="B2" s="6" t="s">
        <v>21</v>
      </c>
      <c r="C2" s="6" t="s">
        <v>47</v>
      </c>
      <c r="D2" s="6" t="s">
        <v>48</v>
      </c>
      <c r="E2" s="6" t="s">
        <v>49</v>
      </c>
      <c r="F2" s="6" t="s">
        <v>50</v>
      </c>
      <c r="G2" s="6" t="s">
        <v>51</v>
      </c>
      <c r="H2" s="6" t="s">
        <v>50</v>
      </c>
      <c r="I2" s="6" t="s">
        <v>52</v>
      </c>
      <c r="J2" s="6" t="s">
        <v>50</v>
      </c>
      <c r="K2" s="6" t="s">
        <v>53</v>
      </c>
      <c r="L2" s="6" t="s">
        <v>50</v>
      </c>
      <c r="M2" s="6" t="s">
        <v>54</v>
      </c>
      <c r="N2" s="6" t="s">
        <v>55</v>
      </c>
    </row>
    <row r="3" customFormat="false" ht="22.35" hidden="false" customHeight="false" outlineLevel="0" collapsed="false">
      <c r="A3" s="6" t="s">
        <v>56</v>
      </c>
      <c r="B3" s="6" t="s">
        <v>21</v>
      </c>
      <c r="C3" s="6" t="s">
        <v>57</v>
      </c>
      <c r="D3" s="6" t="s">
        <v>58</v>
      </c>
      <c r="E3" s="6" t="s">
        <v>59</v>
      </c>
      <c r="F3" s="6" t="s">
        <v>60</v>
      </c>
      <c r="G3" s="6" t="s">
        <v>51</v>
      </c>
      <c r="H3" s="6" t="s">
        <v>60</v>
      </c>
      <c r="I3" s="6" t="s">
        <v>53</v>
      </c>
      <c r="J3" s="6" t="s">
        <v>60</v>
      </c>
      <c r="K3" s="6" t="s">
        <v>61</v>
      </c>
      <c r="L3" s="6" t="s">
        <v>60</v>
      </c>
      <c r="M3" s="6" t="s">
        <v>54</v>
      </c>
      <c r="N3" s="6" t="s">
        <v>62</v>
      </c>
    </row>
    <row r="4" customFormat="false" ht="22.35" hidden="false" customHeight="false" outlineLevel="0" collapsed="false">
      <c r="A4" s="6" t="s">
        <v>63</v>
      </c>
      <c r="B4" s="6" t="s">
        <v>21</v>
      </c>
      <c r="C4" s="6" t="s">
        <v>64</v>
      </c>
      <c r="D4" s="6" t="s">
        <v>65</v>
      </c>
      <c r="E4" s="6" t="s">
        <v>66</v>
      </c>
      <c r="F4" s="6" t="s">
        <v>67</v>
      </c>
      <c r="G4" s="6" t="s">
        <v>51</v>
      </c>
      <c r="H4" s="6" t="s">
        <v>60</v>
      </c>
      <c r="I4" s="6" t="s">
        <v>52</v>
      </c>
      <c r="J4" s="6" t="s">
        <v>60</v>
      </c>
      <c r="K4" s="6" t="s">
        <v>53</v>
      </c>
      <c r="L4" s="6" t="s">
        <v>60</v>
      </c>
      <c r="M4" s="6" t="s">
        <v>54</v>
      </c>
      <c r="N4" s="6" t="s">
        <v>62</v>
      </c>
    </row>
    <row r="5" customFormat="false" ht="43.25" hidden="false" customHeight="false" outlineLevel="0" collapsed="false">
      <c r="A5" s="6" t="s">
        <v>68</v>
      </c>
      <c r="B5" s="6" t="s">
        <v>24</v>
      </c>
      <c r="C5" s="6" t="s">
        <v>69</v>
      </c>
      <c r="D5" s="6" t="s">
        <v>70</v>
      </c>
      <c r="E5" s="6" t="s">
        <v>71</v>
      </c>
      <c r="F5" s="6" t="s">
        <v>60</v>
      </c>
      <c r="G5" s="6" t="s">
        <v>61</v>
      </c>
      <c r="H5" s="6" t="s">
        <v>72</v>
      </c>
      <c r="I5" s="6" t="s">
        <v>52</v>
      </c>
      <c r="J5" s="6" t="s">
        <v>72</v>
      </c>
      <c r="K5" s="6" t="s">
        <v>51</v>
      </c>
      <c r="L5" s="6" t="s">
        <v>72</v>
      </c>
      <c r="M5" s="6" t="s">
        <v>54</v>
      </c>
      <c r="N5" s="6" t="s">
        <v>73</v>
      </c>
    </row>
    <row r="6" customFormat="false" ht="32.8" hidden="false" customHeight="false" outlineLevel="0" collapsed="false">
      <c r="A6" s="6" t="s">
        <v>74</v>
      </c>
      <c r="B6" s="6" t="s">
        <v>22</v>
      </c>
      <c r="C6" s="6" t="s">
        <v>22</v>
      </c>
      <c r="D6" s="6" t="s">
        <v>75</v>
      </c>
      <c r="E6" s="6" t="s">
        <v>76</v>
      </c>
      <c r="F6" s="6" t="s">
        <v>60</v>
      </c>
      <c r="G6" s="6" t="s">
        <v>61</v>
      </c>
      <c r="H6" s="6" t="s">
        <v>60</v>
      </c>
      <c r="I6" s="6" t="s">
        <v>53</v>
      </c>
      <c r="J6" s="6" t="s">
        <v>60</v>
      </c>
      <c r="K6" s="6" t="s">
        <v>52</v>
      </c>
      <c r="L6" s="6" t="s">
        <v>60</v>
      </c>
      <c r="M6" s="6" t="s">
        <v>54</v>
      </c>
      <c r="N6" s="6" t="s">
        <v>62</v>
      </c>
    </row>
    <row r="7" customFormat="false" ht="32.8" hidden="false" customHeight="false" outlineLevel="0" collapsed="false">
      <c r="A7" s="6" t="s">
        <v>77</v>
      </c>
      <c r="B7" s="6" t="s">
        <v>24</v>
      </c>
      <c r="C7" s="6" t="s">
        <v>78</v>
      </c>
      <c r="D7" s="6" t="s">
        <v>79</v>
      </c>
      <c r="E7" s="6" t="s">
        <v>80</v>
      </c>
      <c r="F7" s="6" t="s">
        <v>50</v>
      </c>
      <c r="G7" s="6" t="s">
        <v>61</v>
      </c>
      <c r="H7" s="6" t="s">
        <v>50</v>
      </c>
      <c r="I7" s="6" t="s">
        <v>52</v>
      </c>
      <c r="J7" s="6" t="s">
        <v>50</v>
      </c>
      <c r="K7" s="6" t="s">
        <v>51</v>
      </c>
      <c r="L7" s="6" t="s">
        <v>50</v>
      </c>
      <c r="M7" s="6" t="s">
        <v>54</v>
      </c>
      <c r="N7" s="6" t="s">
        <v>55</v>
      </c>
    </row>
    <row r="8" customFormat="false" ht="53.7" hidden="false" customHeight="false" outlineLevel="0" collapsed="false">
      <c r="A8" s="6" t="s">
        <v>81</v>
      </c>
      <c r="B8" s="6" t="s">
        <v>21</v>
      </c>
      <c r="C8" s="6" t="s">
        <v>82</v>
      </c>
      <c r="D8" s="6" t="s">
        <v>83</v>
      </c>
      <c r="E8" s="6" t="s">
        <v>84</v>
      </c>
      <c r="F8" s="6" t="s">
        <v>85</v>
      </c>
      <c r="G8" s="6" t="s">
        <v>51</v>
      </c>
      <c r="H8" s="6" t="s">
        <v>85</v>
      </c>
      <c r="I8" s="6" t="s">
        <v>53</v>
      </c>
      <c r="J8" s="6" t="s">
        <v>85</v>
      </c>
      <c r="K8" s="6" t="s">
        <v>61</v>
      </c>
      <c r="L8" s="6" t="s">
        <v>85</v>
      </c>
      <c r="M8" s="6" t="s">
        <v>54</v>
      </c>
      <c r="N8" s="6" t="s">
        <v>86</v>
      </c>
    </row>
    <row r="9" customFormat="false" ht="32.8" hidden="false" customHeight="false" outlineLevel="0" collapsed="false">
      <c r="A9" s="6" t="s">
        <v>87</v>
      </c>
      <c r="B9" s="6" t="s">
        <v>21</v>
      </c>
      <c r="C9" s="6" t="s">
        <v>88</v>
      </c>
      <c r="D9" s="6" t="s">
        <v>89</v>
      </c>
      <c r="E9" s="6" t="s">
        <v>90</v>
      </c>
      <c r="F9" s="6" t="s">
        <v>60</v>
      </c>
      <c r="G9" s="6" t="s">
        <v>51</v>
      </c>
      <c r="H9" s="6" t="s">
        <v>60</v>
      </c>
      <c r="I9" s="6" t="s">
        <v>61</v>
      </c>
      <c r="J9" s="6" t="s">
        <v>60</v>
      </c>
      <c r="K9" s="6" t="s">
        <v>52</v>
      </c>
      <c r="L9" s="6" t="s">
        <v>60</v>
      </c>
      <c r="M9" s="6" t="s">
        <v>54</v>
      </c>
      <c r="N9" s="6" t="s">
        <v>62</v>
      </c>
    </row>
    <row r="10" customFormat="false" ht="32.8" hidden="false" customHeight="false" outlineLevel="0" collapsed="false">
      <c r="A10" s="6" t="s">
        <v>91</v>
      </c>
      <c r="B10" s="6" t="s">
        <v>21</v>
      </c>
      <c r="C10" s="6" t="s">
        <v>92</v>
      </c>
      <c r="D10" s="6" t="s">
        <v>93</v>
      </c>
      <c r="E10" s="6" t="s">
        <v>94</v>
      </c>
      <c r="F10" s="6" t="s">
        <v>60</v>
      </c>
      <c r="G10" s="6" t="s">
        <v>51</v>
      </c>
      <c r="H10" s="6" t="s">
        <v>72</v>
      </c>
      <c r="I10" s="6" t="s">
        <v>53</v>
      </c>
      <c r="J10" s="6" t="s">
        <v>72</v>
      </c>
      <c r="K10" s="6" t="s">
        <v>52</v>
      </c>
      <c r="L10" s="6" t="s">
        <v>72</v>
      </c>
      <c r="M10" s="6" t="s">
        <v>54</v>
      </c>
      <c r="N10" s="6" t="s">
        <v>73</v>
      </c>
    </row>
    <row r="11" customFormat="false" ht="32.8" hidden="false" customHeight="false" outlineLevel="0" collapsed="false">
      <c r="A11" s="6" t="s">
        <v>95</v>
      </c>
      <c r="B11" s="6" t="s">
        <v>21</v>
      </c>
      <c r="C11" s="6" t="s">
        <v>96</v>
      </c>
      <c r="D11" s="6" t="s">
        <v>97</v>
      </c>
      <c r="E11" s="6" t="s">
        <v>98</v>
      </c>
      <c r="F11" s="6" t="s">
        <v>67</v>
      </c>
      <c r="G11" s="6" t="s">
        <v>51</v>
      </c>
      <c r="H11" s="6" t="s">
        <v>72</v>
      </c>
      <c r="I11" s="6" t="s">
        <v>52</v>
      </c>
      <c r="J11" s="6" t="s">
        <v>72</v>
      </c>
      <c r="K11" s="6" t="s">
        <v>53</v>
      </c>
      <c r="L11" s="6" t="s">
        <v>72</v>
      </c>
      <c r="M11" s="6" t="s">
        <v>54</v>
      </c>
      <c r="N11" s="6" t="s">
        <v>73</v>
      </c>
    </row>
    <row r="12" customFormat="false" ht="32.8" hidden="false" customHeight="false" outlineLevel="0" collapsed="false">
      <c r="A12" s="6" t="s">
        <v>99</v>
      </c>
      <c r="B12" s="6" t="s">
        <v>21</v>
      </c>
      <c r="C12" s="6" t="s">
        <v>100</v>
      </c>
      <c r="D12" s="6" t="s">
        <v>101</v>
      </c>
      <c r="E12" s="6" t="s">
        <v>102</v>
      </c>
      <c r="F12" s="6" t="s">
        <v>60</v>
      </c>
      <c r="G12" s="6" t="s">
        <v>51</v>
      </c>
      <c r="H12" s="6" t="s">
        <v>60</v>
      </c>
      <c r="I12" s="6" t="s">
        <v>61</v>
      </c>
      <c r="J12" s="6" t="s">
        <v>60</v>
      </c>
      <c r="K12" s="6" t="s">
        <v>52</v>
      </c>
      <c r="L12" s="6" t="s">
        <v>60</v>
      </c>
      <c r="M12" s="6" t="s">
        <v>54</v>
      </c>
      <c r="N12" s="6" t="s">
        <v>62</v>
      </c>
    </row>
    <row r="13" customFormat="false" ht="43.25" hidden="false" customHeight="false" outlineLevel="0" collapsed="false">
      <c r="A13" s="6" t="s">
        <v>103</v>
      </c>
      <c r="B13" s="6" t="s">
        <v>21</v>
      </c>
      <c r="C13" s="6" t="s">
        <v>104</v>
      </c>
      <c r="D13" s="6" t="s">
        <v>105</v>
      </c>
      <c r="E13" s="6" t="s">
        <v>106</v>
      </c>
      <c r="F13" s="6" t="s">
        <v>50</v>
      </c>
      <c r="G13" s="6" t="s">
        <v>51</v>
      </c>
      <c r="H13" s="6" t="s">
        <v>50</v>
      </c>
      <c r="I13" s="6" t="s">
        <v>53</v>
      </c>
      <c r="J13" s="6" t="s">
        <v>50</v>
      </c>
      <c r="K13" s="6" t="s">
        <v>61</v>
      </c>
      <c r="L13" s="6" t="s">
        <v>50</v>
      </c>
      <c r="M13" s="6" t="s">
        <v>54</v>
      </c>
      <c r="N13" s="6" t="s">
        <v>55</v>
      </c>
    </row>
    <row r="14" customFormat="false" ht="32.8" hidden="false" customHeight="false" outlineLevel="0" collapsed="false">
      <c r="A14" s="6" t="s">
        <v>107</v>
      </c>
      <c r="B14" s="6" t="s">
        <v>21</v>
      </c>
      <c r="C14" s="6" t="s">
        <v>108</v>
      </c>
      <c r="D14" s="6" t="s">
        <v>109</v>
      </c>
      <c r="E14" s="6" t="s">
        <v>110</v>
      </c>
      <c r="F14" s="6" t="s">
        <v>50</v>
      </c>
      <c r="G14" s="6" t="s">
        <v>51</v>
      </c>
      <c r="H14" s="6" t="s">
        <v>50</v>
      </c>
      <c r="I14" s="6" t="s">
        <v>53</v>
      </c>
      <c r="J14" s="6" t="s">
        <v>50</v>
      </c>
      <c r="K14" s="6" t="s">
        <v>61</v>
      </c>
      <c r="L14" s="6" t="s">
        <v>50</v>
      </c>
      <c r="M14" s="6" t="s">
        <v>54</v>
      </c>
      <c r="N14" s="6" t="s">
        <v>55</v>
      </c>
    </row>
    <row r="15" customFormat="false" ht="43.25" hidden="false" customHeight="false" outlineLevel="0" collapsed="false">
      <c r="A15" s="6" t="s">
        <v>111</v>
      </c>
      <c r="B15" s="6" t="s">
        <v>21</v>
      </c>
      <c r="C15" s="6" t="s">
        <v>112</v>
      </c>
      <c r="D15" s="6" t="s">
        <v>113</v>
      </c>
      <c r="E15" s="6" t="s">
        <v>114</v>
      </c>
      <c r="F15" s="6" t="s">
        <v>60</v>
      </c>
      <c r="G15" s="6" t="s">
        <v>51</v>
      </c>
      <c r="H15" s="6" t="s">
        <v>60</v>
      </c>
      <c r="I15" s="6" t="s">
        <v>52</v>
      </c>
      <c r="J15" s="6" t="s">
        <v>60</v>
      </c>
      <c r="K15" s="6" t="s">
        <v>53</v>
      </c>
      <c r="L15" s="6" t="s">
        <v>60</v>
      </c>
      <c r="M15" s="6" t="s">
        <v>54</v>
      </c>
      <c r="N15" s="6" t="s">
        <v>115</v>
      </c>
    </row>
    <row r="16" customFormat="false" ht="43.25" hidden="false" customHeight="false" outlineLevel="0" collapsed="false">
      <c r="A16" s="6" t="s">
        <v>116</v>
      </c>
      <c r="B16" s="6" t="s">
        <v>21</v>
      </c>
      <c r="C16" s="6" t="s">
        <v>117</v>
      </c>
      <c r="D16" s="6" t="s">
        <v>118</v>
      </c>
      <c r="E16" s="6" t="s">
        <v>119</v>
      </c>
      <c r="F16" s="6" t="s">
        <v>60</v>
      </c>
      <c r="G16" s="6" t="s">
        <v>51</v>
      </c>
      <c r="H16" s="6" t="s">
        <v>60</v>
      </c>
      <c r="I16" s="6" t="s">
        <v>61</v>
      </c>
      <c r="J16" s="6" t="s">
        <v>60</v>
      </c>
      <c r="K16" s="6" t="s">
        <v>52</v>
      </c>
      <c r="L16" s="6" t="s">
        <v>60</v>
      </c>
      <c r="M16" s="6" t="s">
        <v>54</v>
      </c>
      <c r="N16" s="6" t="s">
        <v>62</v>
      </c>
    </row>
    <row r="17" customFormat="false" ht="32.8" hidden="false" customHeight="false" outlineLevel="0" collapsed="false">
      <c r="A17" s="6" t="s">
        <v>120</v>
      </c>
      <c r="B17" s="6" t="s">
        <v>21</v>
      </c>
      <c r="C17" s="6" t="s">
        <v>121</v>
      </c>
      <c r="D17" s="6" t="s">
        <v>122</v>
      </c>
      <c r="E17" s="6" t="s">
        <v>123</v>
      </c>
      <c r="F17" s="6" t="s">
        <v>67</v>
      </c>
      <c r="G17" s="6" t="s">
        <v>51</v>
      </c>
      <c r="H17" s="6" t="s">
        <v>67</v>
      </c>
      <c r="I17" s="6" t="s">
        <v>53</v>
      </c>
      <c r="J17" s="6" t="s">
        <v>72</v>
      </c>
      <c r="K17" s="6" t="s">
        <v>52</v>
      </c>
      <c r="L17" s="6" t="s">
        <v>72</v>
      </c>
      <c r="M17" s="6" t="s">
        <v>54</v>
      </c>
      <c r="N17" s="6" t="s">
        <v>73</v>
      </c>
    </row>
    <row r="18" customFormat="false" ht="32.8" hidden="false" customHeight="false" outlineLevel="0" collapsed="false">
      <c r="A18" s="6" t="s">
        <v>124</v>
      </c>
      <c r="B18" s="6" t="s">
        <v>22</v>
      </c>
      <c r="C18" s="6" t="s">
        <v>125</v>
      </c>
      <c r="D18" s="6" t="s">
        <v>126</v>
      </c>
      <c r="E18" s="6" t="s">
        <v>127</v>
      </c>
      <c r="F18" s="6" t="s">
        <v>67</v>
      </c>
      <c r="G18" s="6" t="s">
        <v>51</v>
      </c>
      <c r="H18" s="6" t="s">
        <v>67</v>
      </c>
      <c r="I18" s="6" t="s">
        <v>53</v>
      </c>
      <c r="J18" s="6" t="s">
        <v>67</v>
      </c>
      <c r="K18" s="6" t="s">
        <v>61</v>
      </c>
      <c r="L18" s="6" t="s">
        <v>67</v>
      </c>
      <c r="M18" s="6" t="s">
        <v>54</v>
      </c>
      <c r="N18" s="6" t="s">
        <v>128</v>
      </c>
    </row>
    <row r="19" customFormat="false" ht="43.25" hidden="false" customHeight="false" outlineLevel="0" collapsed="false">
      <c r="A19" s="6" t="s">
        <v>129</v>
      </c>
      <c r="B19" s="6" t="s">
        <v>21</v>
      </c>
      <c r="C19" s="6" t="s">
        <v>130</v>
      </c>
      <c r="D19" s="6" t="s">
        <v>131</v>
      </c>
      <c r="E19" s="6" t="s">
        <v>132</v>
      </c>
      <c r="F19" s="6" t="s">
        <v>50</v>
      </c>
      <c r="G19" s="6" t="s">
        <v>53</v>
      </c>
      <c r="H19" s="6" t="s">
        <v>50</v>
      </c>
      <c r="I19" s="6" t="s">
        <v>61</v>
      </c>
      <c r="J19" s="6" t="s">
        <v>50</v>
      </c>
      <c r="K19" s="6" t="s">
        <v>51</v>
      </c>
      <c r="L19" s="6" t="s">
        <v>50</v>
      </c>
      <c r="M19" s="6" t="s">
        <v>54</v>
      </c>
      <c r="N19" s="6" t="s">
        <v>55</v>
      </c>
    </row>
    <row r="20" customFormat="false" ht="53.7" hidden="false" customHeight="false" outlineLevel="0" collapsed="false">
      <c r="A20" s="6" t="s">
        <v>133</v>
      </c>
      <c r="B20" s="6" t="s">
        <v>21</v>
      </c>
      <c r="C20" s="6" t="s">
        <v>134</v>
      </c>
      <c r="D20" s="6" t="s">
        <v>135</v>
      </c>
      <c r="E20" s="6" t="s">
        <v>136</v>
      </c>
      <c r="F20" s="6" t="s">
        <v>60</v>
      </c>
      <c r="G20" s="6" t="s">
        <v>53</v>
      </c>
      <c r="H20" s="6" t="s">
        <v>60</v>
      </c>
      <c r="I20" s="6" t="s">
        <v>61</v>
      </c>
      <c r="J20" s="6" t="s">
        <v>50</v>
      </c>
      <c r="K20" s="6" t="s">
        <v>51</v>
      </c>
      <c r="L20" s="6" t="s">
        <v>50</v>
      </c>
      <c r="M20" s="6" t="s">
        <v>54</v>
      </c>
      <c r="N20" s="6" t="s">
        <v>55</v>
      </c>
    </row>
    <row r="21" customFormat="false" ht="64.15" hidden="false" customHeight="false" outlineLevel="0" collapsed="false">
      <c r="A21" s="6" t="s">
        <v>137</v>
      </c>
      <c r="B21" s="6" t="s">
        <v>21</v>
      </c>
      <c r="C21" s="6" t="s">
        <v>138</v>
      </c>
      <c r="D21" s="6" t="s">
        <v>139</v>
      </c>
      <c r="E21" s="6" t="s">
        <v>140</v>
      </c>
      <c r="F21" s="6" t="s">
        <v>60</v>
      </c>
      <c r="G21" s="6" t="s">
        <v>53</v>
      </c>
      <c r="H21" s="6" t="s">
        <v>60</v>
      </c>
      <c r="I21" s="6" t="s">
        <v>52</v>
      </c>
      <c r="J21" s="6" t="s">
        <v>60</v>
      </c>
      <c r="K21" s="6" t="s">
        <v>51</v>
      </c>
      <c r="L21" s="6" t="s">
        <v>60</v>
      </c>
      <c r="M21" s="6" t="s">
        <v>54</v>
      </c>
      <c r="N21" s="6" t="s">
        <v>62</v>
      </c>
    </row>
    <row r="22" customFormat="false" ht="53.7" hidden="false" customHeight="false" outlineLevel="0" collapsed="false">
      <c r="A22" s="6" t="s">
        <v>141</v>
      </c>
      <c r="B22" s="6" t="s">
        <v>21</v>
      </c>
      <c r="C22" s="6" t="s">
        <v>142</v>
      </c>
      <c r="D22" s="6" t="s">
        <v>143</v>
      </c>
      <c r="E22" s="6" t="s">
        <v>144</v>
      </c>
      <c r="F22" s="6"/>
      <c r="G22" s="6" t="s">
        <v>53</v>
      </c>
      <c r="H22" s="6" t="s">
        <v>50</v>
      </c>
      <c r="I22" s="6" t="s">
        <v>52</v>
      </c>
      <c r="J22" s="6" t="s">
        <v>72</v>
      </c>
      <c r="K22" s="6" t="s">
        <v>51</v>
      </c>
      <c r="L22" s="6" t="s">
        <v>72</v>
      </c>
      <c r="M22" s="6" t="s">
        <v>54</v>
      </c>
      <c r="N22" s="6" t="s">
        <v>73</v>
      </c>
    </row>
    <row r="23" customFormat="false" ht="53.7" hidden="false" customHeight="false" outlineLevel="0" collapsed="false">
      <c r="A23" s="6" t="s">
        <v>145</v>
      </c>
      <c r="B23" s="6" t="s">
        <v>22</v>
      </c>
      <c r="C23" s="6" t="s">
        <v>146</v>
      </c>
      <c r="D23" s="6" t="s">
        <v>147</v>
      </c>
      <c r="E23" s="6" t="s">
        <v>148</v>
      </c>
      <c r="F23" s="6" t="s">
        <v>67</v>
      </c>
      <c r="G23" s="6" t="s">
        <v>51</v>
      </c>
      <c r="H23" s="6" t="s">
        <v>67</v>
      </c>
      <c r="I23" s="6" t="s">
        <v>53</v>
      </c>
      <c r="J23" s="6" t="s">
        <v>67</v>
      </c>
      <c r="K23" s="6" t="s">
        <v>61</v>
      </c>
      <c r="L23" s="6" t="s">
        <v>67</v>
      </c>
      <c r="M23" s="6" t="s">
        <v>54</v>
      </c>
      <c r="N23" s="6" t="s">
        <v>128</v>
      </c>
    </row>
    <row r="24" customFormat="false" ht="43.25" hidden="false" customHeight="false" outlineLevel="0" collapsed="false">
      <c r="A24" s="6" t="s">
        <v>149</v>
      </c>
      <c r="B24" s="6" t="s">
        <v>21</v>
      </c>
      <c r="C24" s="6" t="s">
        <v>150</v>
      </c>
      <c r="D24" s="6" t="s">
        <v>151</v>
      </c>
      <c r="E24" s="6" t="s">
        <v>152</v>
      </c>
      <c r="F24" s="6" t="s">
        <v>50</v>
      </c>
      <c r="G24" s="6" t="s">
        <v>53</v>
      </c>
      <c r="H24" s="6" t="s">
        <v>50</v>
      </c>
      <c r="I24" s="6" t="s">
        <v>52</v>
      </c>
      <c r="J24" s="6" t="s">
        <v>50</v>
      </c>
      <c r="K24" s="6" t="s">
        <v>51</v>
      </c>
      <c r="L24" s="6" t="s">
        <v>50</v>
      </c>
      <c r="M24" s="6" t="s">
        <v>54</v>
      </c>
      <c r="N24" s="6" t="s">
        <v>55</v>
      </c>
    </row>
    <row r="25" customFormat="false" ht="22.35" hidden="false" customHeight="false" outlineLevel="0" collapsed="false">
      <c r="A25" s="6" t="s">
        <v>153</v>
      </c>
      <c r="B25" s="6" t="s">
        <v>21</v>
      </c>
      <c r="C25" s="6" t="s">
        <v>154</v>
      </c>
      <c r="D25" s="6" t="s">
        <v>155</v>
      </c>
      <c r="E25" s="6" t="s">
        <v>156</v>
      </c>
      <c r="F25" s="6" t="s">
        <v>72</v>
      </c>
      <c r="G25" s="6" t="s">
        <v>51</v>
      </c>
      <c r="H25" s="6" t="s">
        <v>72</v>
      </c>
      <c r="I25" s="6" t="s">
        <v>52</v>
      </c>
      <c r="J25" s="6" t="s">
        <v>72</v>
      </c>
      <c r="K25" s="6" t="s">
        <v>53</v>
      </c>
      <c r="L25" s="6" t="s">
        <v>72</v>
      </c>
      <c r="M25" s="6" t="s">
        <v>54</v>
      </c>
      <c r="N25" s="6" t="s">
        <v>73</v>
      </c>
    </row>
    <row r="26" customFormat="false" ht="22.35" hidden="false" customHeight="false" outlineLevel="0" collapsed="false">
      <c r="A26" s="6" t="s">
        <v>157</v>
      </c>
      <c r="B26" s="6" t="s">
        <v>21</v>
      </c>
      <c r="C26" s="6" t="s">
        <v>158</v>
      </c>
      <c r="D26" s="6" t="s">
        <v>159</v>
      </c>
      <c r="E26" s="6" t="s">
        <v>160</v>
      </c>
      <c r="F26" s="6" t="s">
        <v>72</v>
      </c>
      <c r="G26" s="6" t="s">
        <v>51</v>
      </c>
      <c r="H26" s="6" t="s">
        <v>72</v>
      </c>
      <c r="I26" s="6" t="s">
        <v>53</v>
      </c>
      <c r="J26" s="6" t="s">
        <v>72</v>
      </c>
      <c r="K26" s="6" t="s">
        <v>52</v>
      </c>
      <c r="L26" s="6" t="s">
        <v>72</v>
      </c>
      <c r="M26" s="6" t="s">
        <v>54</v>
      </c>
      <c r="N26" s="6" t="s">
        <v>73</v>
      </c>
    </row>
    <row r="27" customFormat="false" ht="22.35" hidden="false" customHeight="false" outlineLevel="0" collapsed="false">
      <c r="A27" s="6" t="s">
        <v>161</v>
      </c>
      <c r="B27" s="6" t="s">
        <v>21</v>
      </c>
      <c r="C27" s="6" t="s">
        <v>162</v>
      </c>
      <c r="D27" s="6" t="s">
        <v>163</v>
      </c>
      <c r="E27" s="6" t="s">
        <v>164</v>
      </c>
      <c r="F27" s="6" t="s">
        <v>67</v>
      </c>
      <c r="G27" s="6" t="s">
        <v>51</v>
      </c>
      <c r="H27" s="6" t="s">
        <v>60</v>
      </c>
      <c r="I27" s="6" t="s">
        <v>53</v>
      </c>
      <c r="J27" s="6" t="s">
        <v>72</v>
      </c>
      <c r="K27" s="6" t="s">
        <v>52</v>
      </c>
      <c r="L27" s="6" t="s">
        <v>72</v>
      </c>
      <c r="M27" s="6" t="s">
        <v>54</v>
      </c>
      <c r="N27" s="6" t="s">
        <v>73</v>
      </c>
    </row>
    <row r="28" customFormat="false" ht="32.8" hidden="false" customHeight="false" outlineLevel="0" collapsed="false">
      <c r="A28" s="6" t="s">
        <v>165</v>
      </c>
      <c r="B28" s="6" t="s">
        <v>21</v>
      </c>
      <c r="C28" s="6" t="s">
        <v>166</v>
      </c>
      <c r="D28" s="6" t="s">
        <v>167</v>
      </c>
      <c r="E28" s="6" t="s">
        <v>168</v>
      </c>
      <c r="F28" s="6" t="s">
        <v>60</v>
      </c>
      <c r="G28" s="6" t="s">
        <v>51</v>
      </c>
      <c r="H28" s="6" t="s">
        <v>60</v>
      </c>
      <c r="I28" s="6" t="s">
        <v>53</v>
      </c>
      <c r="J28" s="6" t="s">
        <v>60</v>
      </c>
      <c r="K28" s="6" t="s">
        <v>61</v>
      </c>
      <c r="L28" s="6" t="s">
        <v>60</v>
      </c>
      <c r="M28" s="6" t="s">
        <v>54</v>
      </c>
      <c r="N28" s="6" t="s">
        <v>62</v>
      </c>
    </row>
    <row r="29" customFormat="false" ht="22.35" hidden="false" customHeight="false" outlineLevel="0" collapsed="false">
      <c r="A29" s="6" t="s">
        <v>169</v>
      </c>
      <c r="B29" s="6" t="s">
        <v>21</v>
      </c>
      <c r="C29" s="6" t="s">
        <v>170</v>
      </c>
      <c r="D29" s="6" t="s">
        <v>171</v>
      </c>
      <c r="E29" s="6" t="s">
        <v>172</v>
      </c>
      <c r="F29" s="6" t="s">
        <v>72</v>
      </c>
      <c r="G29" s="6" t="s">
        <v>51</v>
      </c>
      <c r="H29" s="6" t="s">
        <v>72</v>
      </c>
      <c r="I29" s="6" t="s">
        <v>52</v>
      </c>
      <c r="J29" s="6" t="s">
        <v>72</v>
      </c>
      <c r="K29" s="6" t="s">
        <v>53</v>
      </c>
      <c r="L29" s="6" t="s">
        <v>72</v>
      </c>
      <c r="M29" s="6" t="s">
        <v>54</v>
      </c>
      <c r="N29" s="6" t="s">
        <v>73</v>
      </c>
    </row>
    <row r="30" customFormat="false" ht="22.35" hidden="false" customHeight="false" outlineLevel="0" collapsed="false">
      <c r="A30" s="6" t="s">
        <v>173</v>
      </c>
      <c r="B30" s="6" t="s">
        <v>21</v>
      </c>
      <c r="C30" s="6" t="s">
        <v>174</v>
      </c>
      <c r="D30" s="6" t="s">
        <v>175</v>
      </c>
      <c r="E30" s="6" t="s">
        <v>176</v>
      </c>
      <c r="F30" s="6" t="s">
        <v>72</v>
      </c>
      <c r="G30" s="6" t="s">
        <v>51</v>
      </c>
      <c r="H30" s="6" t="s">
        <v>72</v>
      </c>
      <c r="I30" s="6" t="s">
        <v>53</v>
      </c>
      <c r="J30" s="6" t="s">
        <v>72</v>
      </c>
      <c r="K30" s="6" t="s">
        <v>52</v>
      </c>
      <c r="L30" s="6" t="s">
        <v>72</v>
      </c>
      <c r="M30" s="6" t="s">
        <v>54</v>
      </c>
      <c r="N30" s="6" t="s">
        <v>73</v>
      </c>
    </row>
    <row r="31" customFormat="false" ht="22.35" hidden="false" customHeight="false" outlineLevel="0" collapsed="false">
      <c r="A31" s="6" t="s">
        <v>177</v>
      </c>
      <c r="B31" s="6" t="s">
        <v>21</v>
      </c>
      <c r="C31" s="6" t="s">
        <v>178</v>
      </c>
      <c r="D31" s="6" t="s">
        <v>179</v>
      </c>
      <c r="E31" s="6" t="s">
        <v>180</v>
      </c>
      <c r="F31" s="6" t="s">
        <v>50</v>
      </c>
      <c r="G31" s="6" t="s">
        <v>51</v>
      </c>
      <c r="H31" s="6" t="s">
        <v>50</v>
      </c>
      <c r="I31" s="6" t="s">
        <v>52</v>
      </c>
      <c r="J31" s="6" t="s">
        <v>50</v>
      </c>
      <c r="K31" s="6" t="s">
        <v>53</v>
      </c>
      <c r="L31" s="6" t="s">
        <v>50</v>
      </c>
      <c r="M31" s="6" t="s">
        <v>54</v>
      </c>
      <c r="N31" s="6" t="s">
        <v>55</v>
      </c>
    </row>
    <row r="32" customFormat="false" ht="32.8" hidden="false" customHeight="false" outlineLevel="0" collapsed="false">
      <c r="A32" s="6" t="s">
        <v>181</v>
      </c>
      <c r="B32" s="6" t="s">
        <v>22</v>
      </c>
      <c r="C32" s="6" t="s">
        <v>182</v>
      </c>
      <c r="D32" s="6" t="s">
        <v>183</v>
      </c>
      <c r="E32" s="6" t="s">
        <v>184</v>
      </c>
      <c r="F32" s="6" t="s">
        <v>60</v>
      </c>
      <c r="G32" s="6" t="s">
        <v>51</v>
      </c>
      <c r="H32" s="6" t="s">
        <v>72</v>
      </c>
      <c r="I32" s="6" t="s">
        <v>53</v>
      </c>
      <c r="J32" s="6" t="s">
        <v>72</v>
      </c>
      <c r="K32" s="6" t="s">
        <v>61</v>
      </c>
      <c r="L32" s="6" t="s">
        <v>72</v>
      </c>
      <c r="M32" s="6" t="s">
        <v>54</v>
      </c>
      <c r="N32" s="6" t="s">
        <v>73</v>
      </c>
    </row>
    <row r="33" customFormat="false" ht="43.25" hidden="false" customHeight="false" outlineLevel="0" collapsed="false">
      <c r="A33" s="6" t="s">
        <v>185</v>
      </c>
      <c r="B33" s="6" t="s">
        <v>21</v>
      </c>
      <c r="C33" s="6" t="s">
        <v>186</v>
      </c>
      <c r="D33" s="6" t="s">
        <v>187</v>
      </c>
      <c r="E33" s="6" t="s">
        <v>188</v>
      </c>
      <c r="F33" s="6" t="s">
        <v>50</v>
      </c>
      <c r="G33" s="6" t="s">
        <v>51</v>
      </c>
      <c r="H33" s="6" t="s">
        <v>50</v>
      </c>
      <c r="I33" s="6" t="s">
        <v>61</v>
      </c>
      <c r="J33" s="6" t="s">
        <v>50</v>
      </c>
      <c r="K33" s="6" t="s">
        <v>53</v>
      </c>
      <c r="L33" s="6" t="s">
        <v>50</v>
      </c>
      <c r="M33" s="6" t="s">
        <v>54</v>
      </c>
      <c r="N33" s="6" t="s">
        <v>55</v>
      </c>
    </row>
    <row r="34" customFormat="false" ht="53.7" hidden="false" customHeight="false" outlineLevel="0" collapsed="false">
      <c r="A34" s="6" t="s">
        <v>189</v>
      </c>
      <c r="B34" s="6" t="s">
        <v>23</v>
      </c>
      <c r="C34" s="6" t="s">
        <v>190</v>
      </c>
      <c r="D34" s="6" t="s">
        <v>191</v>
      </c>
      <c r="E34" s="6" t="s">
        <v>192</v>
      </c>
      <c r="F34" s="6" t="s">
        <v>60</v>
      </c>
      <c r="G34" s="6" t="s">
        <v>52</v>
      </c>
      <c r="H34" s="6" t="s">
        <v>72</v>
      </c>
      <c r="I34" s="6" t="s">
        <v>53</v>
      </c>
      <c r="J34" s="6" t="s">
        <v>67</v>
      </c>
      <c r="K34" s="6" t="s">
        <v>61</v>
      </c>
      <c r="L34" s="6" t="s">
        <v>67</v>
      </c>
      <c r="M34" s="6" t="s">
        <v>54</v>
      </c>
      <c r="N34" s="6" t="s">
        <v>128</v>
      </c>
    </row>
    <row r="35" customFormat="false" ht="43.25" hidden="false" customHeight="false" outlineLevel="0" collapsed="false">
      <c r="A35" s="6" t="s">
        <v>193</v>
      </c>
      <c r="B35" s="6" t="s">
        <v>21</v>
      </c>
      <c r="C35" s="6" t="s">
        <v>104</v>
      </c>
      <c r="D35" s="6" t="s">
        <v>194</v>
      </c>
      <c r="E35" s="6" t="s">
        <v>195</v>
      </c>
      <c r="F35" s="6" t="s">
        <v>60</v>
      </c>
      <c r="G35" s="6" t="s">
        <v>51</v>
      </c>
      <c r="H35" s="6" t="s">
        <v>60</v>
      </c>
      <c r="I35" s="6" t="s">
        <v>52</v>
      </c>
      <c r="J35" s="6" t="s">
        <v>60</v>
      </c>
      <c r="K35" s="6" t="s">
        <v>53</v>
      </c>
      <c r="L35" s="6" t="s">
        <v>60</v>
      </c>
      <c r="M35" s="6" t="s">
        <v>54</v>
      </c>
      <c r="N35" s="6" t="s">
        <v>62</v>
      </c>
    </row>
    <row r="36" customFormat="false" ht="43.25" hidden="false" customHeight="false" outlineLevel="0" collapsed="false">
      <c r="A36" s="6" t="s">
        <v>196</v>
      </c>
      <c r="B36" s="6" t="s">
        <v>21</v>
      </c>
      <c r="C36" s="6" t="s">
        <v>104</v>
      </c>
      <c r="D36" s="6" t="s">
        <v>197</v>
      </c>
      <c r="E36" s="6" t="s">
        <v>198</v>
      </c>
      <c r="F36" s="6" t="s">
        <v>50</v>
      </c>
      <c r="G36" s="6" t="s">
        <v>51</v>
      </c>
      <c r="H36" s="6" t="s">
        <v>72</v>
      </c>
      <c r="I36" s="6" t="s">
        <v>53</v>
      </c>
      <c r="J36" s="6" t="s">
        <v>72</v>
      </c>
      <c r="K36" s="6" t="s">
        <v>52</v>
      </c>
      <c r="L36" s="6" t="s">
        <v>72</v>
      </c>
      <c r="M36" s="6" t="s">
        <v>54</v>
      </c>
      <c r="N36" s="6" t="s">
        <v>73</v>
      </c>
    </row>
    <row r="37" customFormat="false" ht="43.25" hidden="false" customHeight="false" outlineLevel="0" collapsed="false">
      <c r="A37" s="6" t="s">
        <v>199</v>
      </c>
      <c r="B37" s="6" t="s">
        <v>21</v>
      </c>
      <c r="C37" s="6" t="s">
        <v>200</v>
      </c>
      <c r="D37" s="6" t="s">
        <v>201</v>
      </c>
      <c r="E37" s="6" t="s">
        <v>202</v>
      </c>
      <c r="F37" s="6" t="s">
        <v>60</v>
      </c>
      <c r="G37" s="6" t="s">
        <v>51</v>
      </c>
      <c r="H37" s="6" t="s">
        <v>72</v>
      </c>
      <c r="I37" s="6" t="s">
        <v>61</v>
      </c>
      <c r="J37" s="6" t="s">
        <v>72</v>
      </c>
      <c r="K37" s="6" t="s">
        <v>52</v>
      </c>
      <c r="L37" s="6" t="s">
        <v>72</v>
      </c>
      <c r="M37" s="6" t="s">
        <v>54</v>
      </c>
      <c r="N37" s="6" t="s">
        <v>73</v>
      </c>
    </row>
    <row r="38" customFormat="false" ht="32.8" hidden="false" customHeight="false" outlineLevel="0" collapsed="false">
      <c r="A38" s="6" t="s">
        <v>203</v>
      </c>
      <c r="B38" s="6" t="s">
        <v>21</v>
      </c>
      <c r="C38" s="6" t="s">
        <v>204</v>
      </c>
      <c r="D38" s="6" t="s">
        <v>205</v>
      </c>
      <c r="E38" s="6" t="s">
        <v>206</v>
      </c>
      <c r="F38" s="6" t="s">
        <v>60</v>
      </c>
      <c r="G38" s="6" t="s">
        <v>51</v>
      </c>
      <c r="H38" s="6" t="s">
        <v>72</v>
      </c>
      <c r="I38" s="6" t="s">
        <v>61</v>
      </c>
      <c r="J38" s="6" t="s">
        <v>72</v>
      </c>
      <c r="K38" s="6" t="s">
        <v>53</v>
      </c>
      <c r="L38" s="6" t="s">
        <v>72</v>
      </c>
      <c r="M38" s="6" t="s">
        <v>54</v>
      </c>
      <c r="N38" s="6" t="s">
        <v>73</v>
      </c>
    </row>
    <row r="39" customFormat="false" ht="53.7" hidden="false" customHeight="false" outlineLevel="0" collapsed="false">
      <c r="A39" s="6" t="s">
        <v>207</v>
      </c>
      <c r="B39" s="6" t="s">
        <v>21</v>
      </c>
      <c r="C39" s="6" t="s">
        <v>208</v>
      </c>
      <c r="D39" s="6" t="s">
        <v>209</v>
      </c>
      <c r="E39" s="6" t="s">
        <v>210</v>
      </c>
      <c r="F39" s="6" t="s">
        <v>60</v>
      </c>
      <c r="G39" s="6" t="s">
        <v>51</v>
      </c>
      <c r="H39" s="6" t="s">
        <v>72</v>
      </c>
      <c r="I39" s="6" t="s">
        <v>61</v>
      </c>
      <c r="J39" s="6" t="s">
        <v>72</v>
      </c>
      <c r="K39" s="6" t="s">
        <v>52</v>
      </c>
      <c r="L39" s="6" t="s">
        <v>72</v>
      </c>
      <c r="M39" s="6" t="s">
        <v>54</v>
      </c>
      <c r="N39" s="6" t="s">
        <v>73</v>
      </c>
    </row>
    <row r="40" customFormat="false" ht="32.8" hidden="false" customHeight="false" outlineLevel="0" collapsed="false">
      <c r="A40" s="6" t="s">
        <v>211</v>
      </c>
      <c r="B40" s="6" t="s">
        <v>21</v>
      </c>
      <c r="C40" s="6" t="s">
        <v>212</v>
      </c>
      <c r="D40" s="6" t="s">
        <v>213</v>
      </c>
      <c r="E40" s="6" t="s">
        <v>214</v>
      </c>
      <c r="F40" s="6" t="s">
        <v>50</v>
      </c>
      <c r="G40" s="6" t="s">
        <v>51</v>
      </c>
      <c r="H40" s="6" t="s">
        <v>50</v>
      </c>
      <c r="I40" s="6" t="s">
        <v>61</v>
      </c>
      <c r="J40" s="6" t="s">
        <v>50</v>
      </c>
      <c r="K40" s="6" t="s">
        <v>53</v>
      </c>
      <c r="L40" s="6" t="s">
        <v>50</v>
      </c>
      <c r="M40" s="6" t="s">
        <v>54</v>
      </c>
      <c r="N40" s="6" t="s">
        <v>55</v>
      </c>
    </row>
    <row r="41" customFormat="false" ht="43.25" hidden="false" customHeight="false" outlineLevel="0" collapsed="false">
      <c r="A41" s="6" t="s">
        <v>215</v>
      </c>
      <c r="B41" s="6" t="s">
        <v>21</v>
      </c>
      <c r="C41" s="6" t="s">
        <v>216</v>
      </c>
      <c r="D41" s="6" t="s">
        <v>217</v>
      </c>
      <c r="E41" s="6" t="s">
        <v>218</v>
      </c>
      <c r="F41" s="6" t="s">
        <v>60</v>
      </c>
      <c r="G41" s="6" t="s">
        <v>51</v>
      </c>
      <c r="H41" s="6" t="s">
        <v>50</v>
      </c>
      <c r="I41" s="6" t="s">
        <v>61</v>
      </c>
      <c r="J41" s="6" t="s">
        <v>60</v>
      </c>
      <c r="K41" s="6" t="s">
        <v>52</v>
      </c>
      <c r="L41" s="6" t="s">
        <v>60</v>
      </c>
      <c r="M41" s="6" t="s">
        <v>54</v>
      </c>
      <c r="N41" s="6" t="s">
        <v>62</v>
      </c>
    </row>
    <row r="42" customFormat="false" ht="32.8" hidden="false" customHeight="false" outlineLevel="0" collapsed="false">
      <c r="A42" s="6" t="s">
        <v>219</v>
      </c>
      <c r="B42" s="6" t="s">
        <v>22</v>
      </c>
      <c r="C42" s="6" t="s">
        <v>220</v>
      </c>
      <c r="D42" s="6" t="s">
        <v>221</v>
      </c>
      <c r="E42" s="6" t="s">
        <v>222</v>
      </c>
      <c r="F42" s="6" t="s">
        <v>60</v>
      </c>
      <c r="G42" s="6" t="s">
        <v>52</v>
      </c>
      <c r="H42" s="6" t="s">
        <v>60</v>
      </c>
      <c r="I42" s="6" t="s">
        <v>53</v>
      </c>
      <c r="J42" s="6" t="s">
        <v>60</v>
      </c>
      <c r="K42" s="6" t="s">
        <v>61</v>
      </c>
      <c r="L42" s="6" t="s">
        <v>60</v>
      </c>
      <c r="M42" s="6" t="s">
        <v>54</v>
      </c>
      <c r="N42" s="6" t="s">
        <v>62</v>
      </c>
    </row>
    <row r="43" customFormat="false" ht="32.8" hidden="false" customHeight="false" outlineLevel="0" collapsed="false">
      <c r="A43" s="6" t="s">
        <v>223</v>
      </c>
      <c r="B43" s="6" t="s">
        <v>22</v>
      </c>
      <c r="C43" s="6" t="s">
        <v>224</v>
      </c>
      <c r="D43" s="6" t="s">
        <v>225</v>
      </c>
      <c r="E43" s="6" t="s">
        <v>226</v>
      </c>
      <c r="F43" s="6" t="s">
        <v>72</v>
      </c>
      <c r="G43" s="6" t="s">
        <v>52</v>
      </c>
      <c r="H43" s="6" t="s">
        <v>72</v>
      </c>
      <c r="I43" s="6" t="s">
        <v>53</v>
      </c>
      <c r="J43" s="6" t="s">
        <v>72</v>
      </c>
      <c r="K43" s="6" t="s">
        <v>61</v>
      </c>
      <c r="L43" s="6" t="s">
        <v>72</v>
      </c>
      <c r="M43" s="6" t="s">
        <v>54</v>
      </c>
      <c r="N43" s="6" t="s">
        <v>73</v>
      </c>
    </row>
    <row r="44" customFormat="false" ht="64.15" hidden="false" customHeight="false" outlineLevel="0" collapsed="false">
      <c r="A44" s="6" t="s">
        <v>227</v>
      </c>
      <c r="B44" s="6" t="s">
        <v>21</v>
      </c>
      <c r="C44" s="6" t="s">
        <v>186</v>
      </c>
      <c r="D44" s="6" t="s">
        <v>228</v>
      </c>
      <c r="E44" s="6" t="s">
        <v>229</v>
      </c>
      <c r="F44" s="6" t="s">
        <v>50</v>
      </c>
      <c r="G44" s="6" t="s">
        <v>51</v>
      </c>
      <c r="H44" s="6" t="s">
        <v>50</v>
      </c>
      <c r="I44" s="6" t="s">
        <v>61</v>
      </c>
      <c r="J44" s="6" t="s">
        <v>50</v>
      </c>
      <c r="K44" s="6" t="s">
        <v>53</v>
      </c>
      <c r="L44" s="6" t="s">
        <v>50</v>
      </c>
      <c r="M44" s="6" t="s">
        <v>54</v>
      </c>
      <c r="N44" s="6" t="s">
        <v>55</v>
      </c>
    </row>
    <row r="45" customFormat="false" ht="22.35" hidden="false" customHeight="false" outlineLevel="0" collapsed="false">
      <c r="A45" s="6" t="s">
        <v>230</v>
      </c>
      <c r="B45" s="6" t="s">
        <v>21</v>
      </c>
      <c r="C45" s="6" t="s">
        <v>231</v>
      </c>
      <c r="D45" s="6" t="s">
        <v>232</v>
      </c>
      <c r="E45" s="6" t="s">
        <v>233</v>
      </c>
      <c r="F45" s="6" t="s">
        <v>50</v>
      </c>
      <c r="G45" s="6" t="s">
        <v>52</v>
      </c>
      <c r="H45" s="6" t="s">
        <v>60</v>
      </c>
      <c r="I45" s="6" t="s">
        <v>53</v>
      </c>
      <c r="J45" s="6" t="s">
        <v>72</v>
      </c>
      <c r="K45" s="6" t="s">
        <v>61</v>
      </c>
      <c r="L45" s="6" t="s">
        <v>72</v>
      </c>
      <c r="M45" s="6" t="s">
        <v>54</v>
      </c>
      <c r="N45" s="6" t="s">
        <v>73</v>
      </c>
    </row>
    <row r="46" customFormat="false" ht="32.8" hidden="false" customHeight="false" outlineLevel="0" collapsed="false">
      <c r="A46" s="6" t="s">
        <v>234</v>
      </c>
      <c r="B46" s="6" t="s">
        <v>22</v>
      </c>
      <c r="C46" s="6" t="s">
        <v>235</v>
      </c>
      <c r="D46" s="6" t="s">
        <v>236</v>
      </c>
      <c r="E46" s="6" t="s">
        <v>237</v>
      </c>
      <c r="F46" s="6" t="s">
        <v>50</v>
      </c>
      <c r="G46" s="6" t="s">
        <v>52</v>
      </c>
      <c r="H46" s="6" t="s">
        <v>72</v>
      </c>
      <c r="I46" s="6" t="s">
        <v>53</v>
      </c>
      <c r="J46" s="6" t="s">
        <v>60</v>
      </c>
      <c r="K46" s="6" t="s">
        <v>61</v>
      </c>
      <c r="L46" s="6" t="s">
        <v>60</v>
      </c>
      <c r="M46" s="6" t="s">
        <v>54</v>
      </c>
      <c r="N46" s="6" t="s">
        <v>62</v>
      </c>
    </row>
    <row r="47" customFormat="false" ht="43.25" hidden="false" customHeight="false" outlineLevel="0" collapsed="false">
      <c r="A47" s="6" t="s">
        <v>238</v>
      </c>
      <c r="B47" s="6" t="s">
        <v>21</v>
      </c>
      <c r="C47" s="6" t="s">
        <v>208</v>
      </c>
      <c r="D47" s="6" t="s">
        <v>239</v>
      </c>
      <c r="E47" s="6" t="s">
        <v>240</v>
      </c>
      <c r="F47" s="6" t="s">
        <v>50</v>
      </c>
      <c r="G47" s="6" t="s">
        <v>51</v>
      </c>
      <c r="H47" s="6" t="s">
        <v>50</v>
      </c>
      <c r="I47" s="6" t="s">
        <v>53</v>
      </c>
      <c r="J47" s="6" t="s">
        <v>50</v>
      </c>
      <c r="K47" s="6" t="s">
        <v>52</v>
      </c>
      <c r="L47" s="6" t="s">
        <v>50</v>
      </c>
      <c r="M47" s="6" t="s">
        <v>54</v>
      </c>
      <c r="N47" s="6" t="s">
        <v>55</v>
      </c>
    </row>
    <row r="48" customFormat="false" ht="32.8" hidden="false" customHeight="false" outlineLevel="0" collapsed="false">
      <c r="A48" s="6" t="s">
        <v>241</v>
      </c>
      <c r="B48" s="6" t="s">
        <v>21</v>
      </c>
      <c r="C48" s="6" t="s">
        <v>242</v>
      </c>
      <c r="D48" s="6" t="s">
        <v>243</v>
      </c>
      <c r="E48" s="6" t="s">
        <v>244</v>
      </c>
      <c r="F48" s="6" t="s">
        <v>67</v>
      </c>
      <c r="G48" s="6" t="s">
        <v>51</v>
      </c>
      <c r="H48" s="6" t="s">
        <v>67</v>
      </c>
      <c r="I48" s="6" t="s">
        <v>53</v>
      </c>
      <c r="J48" s="6" t="s">
        <v>72</v>
      </c>
      <c r="K48" s="6" t="s">
        <v>52</v>
      </c>
      <c r="L48" s="6" t="s">
        <v>72</v>
      </c>
      <c r="M48" s="6" t="s">
        <v>54</v>
      </c>
      <c r="N48" s="6" t="s">
        <v>73</v>
      </c>
    </row>
    <row r="49" customFormat="false" ht="22.35" hidden="false" customHeight="false" outlineLevel="0" collapsed="false">
      <c r="A49" s="6" t="s">
        <v>245</v>
      </c>
      <c r="B49" s="6" t="s">
        <v>22</v>
      </c>
      <c r="C49" s="6" t="s">
        <v>224</v>
      </c>
      <c r="D49" s="6" t="s">
        <v>246</v>
      </c>
      <c r="E49" s="6" t="s">
        <v>247</v>
      </c>
      <c r="F49" s="6" t="s">
        <v>60</v>
      </c>
      <c r="G49" s="6" t="s">
        <v>52</v>
      </c>
      <c r="H49" s="6" t="s">
        <v>60</v>
      </c>
      <c r="I49" s="6" t="s">
        <v>53</v>
      </c>
      <c r="J49" s="6" t="s">
        <v>60</v>
      </c>
      <c r="K49" s="6" t="s">
        <v>61</v>
      </c>
      <c r="L49" s="6" t="s">
        <v>60</v>
      </c>
      <c r="M49" s="6" t="s">
        <v>54</v>
      </c>
      <c r="N49" s="6" t="s">
        <v>62</v>
      </c>
    </row>
    <row r="50" customFormat="false" ht="43.25" hidden="false" customHeight="false" outlineLevel="0" collapsed="false">
      <c r="A50" s="6" t="s">
        <v>248</v>
      </c>
      <c r="B50" s="6" t="s">
        <v>21</v>
      </c>
      <c r="C50" s="6" t="s">
        <v>186</v>
      </c>
      <c r="D50" s="6" t="s">
        <v>249</v>
      </c>
      <c r="E50" s="6" t="s">
        <v>250</v>
      </c>
      <c r="F50" s="6" t="s">
        <v>50</v>
      </c>
      <c r="G50" s="6" t="s">
        <v>51</v>
      </c>
      <c r="H50" s="6" t="s">
        <v>50</v>
      </c>
      <c r="I50" s="6" t="s">
        <v>61</v>
      </c>
      <c r="J50" s="6" t="s">
        <v>50</v>
      </c>
      <c r="K50" s="6" t="s">
        <v>53</v>
      </c>
      <c r="L50" s="6" t="s">
        <v>50</v>
      </c>
      <c r="M50" s="6" t="s">
        <v>54</v>
      </c>
      <c r="N50" s="6" t="s">
        <v>55</v>
      </c>
    </row>
    <row r="51" customFormat="false" ht="32.8" hidden="false" customHeight="false" outlineLevel="0" collapsed="false">
      <c r="A51" s="6" t="s">
        <v>251</v>
      </c>
      <c r="B51" s="6" t="s">
        <v>21</v>
      </c>
      <c r="C51" s="6" t="s">
        <v>252</v>
      </c>
      <c r="D51" s="6" t="s">
        <v>253</v>
      </c>
      <c r="E51" s="6" t="s">
        <v>254</v>
      </c>
      <c r="F51" s="6" t="s">
        <v>60</v>
      </c>
      <c r="G51" s="6" t="s">
        <v>51</v>
      </c>
      <c r="H51" s="6" t="s">
        <v>60</v>
      </c>
      <c r="I51" s="6" t="s">
        <v>52</v>
      </c>
      <c r="J51" s="6" t="s">
        <v>60</v>
      </c>
      <c r="K51" s="6" t="s">
        <v>53</v>
      </c>
      <c r="L51" s="6" t="s">
        <v>60</v>
      </c>
      <c r="M51" s="6" t="s">
        <v>54</v>
      </c>
      <c r="N51" s="6" t="s">
        <v>62</v>
      </c>
    </row>
    <row r="52" customFormat="false" ht="22.35" hidden="false" customHeight="false" outlineLevel="0" collapsed="false">
      <c r="A52" s="6" t="s">
        <v>255</v>
      </c>
      <c r="B52" s="6" t="s">
        <v>21</v>
      </c>
      <c r="C52" s="6" t="s">
        <v>256</v>
      </c>
      <c r="D52" s="6" t="s">
        <v>257</v>
      </c>
      <c r="E52" s="6" t="s">
        <v>258</v>
      </c>
      <c r="F52" s="6" t="s">
        <v>72</v>
      </c>
      <c r="G52" s="6" t="s">
        <v>52</v>
      </c>
      <c r="H52" s="6" t="s">
        <v>72</v>
      </c>
      <c r="I52" s="6" t="s">
        <v>53</v>
      </c>
      <c r="J52" s="6" t="s">
        <v>72</v>
      </c>
      <c r="K52" s="6" t="s">
        <v>61</v>
      </c>
      <c r="L52" s="6" t="s">
        <v>72</v>
      </c>
      <c r="M52" s="6" t="s">
        <v>54</v>
      </c>
      <c r="N52" s="6" t="s">
        <v>73</v>
      </c>
    </row>
    <row r="53" customFormat="false" ht="43.25" hidden="false" customHeight="false" outlineLevel="0" collapsed="false">
      <c r="A53" s="6" t="s">
        <v>259</v>
      </c>
      <c r="B53" s="6" t="s">
        <v>21</v>
      </c>
      <c r="C53" s="6" t="s">
        <v>260</v>
      </c>
      <c r="D53" s="6" t="s">
        <v>261</v>
      </c>
      <c r="E53" s="6" t="s">
        <v>262</v>
      </c>
      <c r="F53" s="6" t="s">
        <v>60</v>
      </c>
      <c r="G53" s="6" t="s">
        <v>51</v>
      </c>
      <c r="H53" s="6" t="s">
        <v>60</v>
      </c>
      <c r="I53" s="6" t="s">
        <v>61</v>
      </c>
      <c r="J53" s="6" t="s">
        <v>60</v>
      </c>
      <c r="K53" s="6" t="s">
        <v>52</v>
      </c>
      <c r="L53" s="6" t="s">
        <v>60</v>
      </c>
      <c r="M53" s="6" t="s">
        <v>54</v>
      </c>
      <c r="N53" s="6" t="s">
        <v>62</v>
      </c>
    </row>
    <row r="54" customFormat="false" ht="32.8" hidden="false" customHeight="false" outlineLevel="0" collapsed="false">
      <c r="A54" s="6" t="s">
        <v>263</v>
      </c>
      <c r="B54" s="6" t="s">
        <v>21</v>
      </c>
      <c r="C54" s="6" t="s">
        <v>264</v>
      </c>
      <c r="D54" s="6" t="s">
        <v>265</v>
      </c>
      <c r="E54" s="6" t="s">
        <v>266</v>
      </c>
      <c r="F54" s="6" t="s">
        <v>50</v>
      </c>
      <c r="G54" s="6" t="s">
        <v>51</v>
      </c>
      <c r="H54" s="6" t="s">
        <v>50</v>
      </c>
      <c r="I54" s="6" t="s">
        <v>61</v>
      </c>
      <c r="J54" s="6" t="s">
        <v>50</v>
      </c>
      <c r="K54" s="6" t="s">
        <v>53</v>
      </c>
      <c r="L54" s="6" t="s">
        <v>50</v>
      </c>
      <c r="M54" s="6" t="s">
        <v>54</v>
      </c>
      <c r="N54" s="6" t="s">
        <v>55</v>
      </c>
    </row>
    <row r="55" customFormat="false" ht="53.7" hidden="false" customHeight="false" outlineLevel="0" collapsed="false">
      <c r="A55" s="6" t="s">
        <v>267</v>
      </c>
      <c r="B55" s="6" t="s">
        <v>21</v>
      </c>
      <c r="C55" s="6" t="s">
        <v>208</v>
      </c>
      <c r="D55" s="6" t="s">
        <v>268</v>
      </c>
      <c r="E55" s="6" t="s">
        <v>269</v>
      </c>
      <c r="F55" s="6" t="s">
        <v>60</v>
      </c>
      <c r="G55" s="6" t="s">
        <v>51</v>
      </c>
      <c r="H55" s="6" t="s">
        <v>60</v>
      </c>
      <c r="I55" s="6" t="s">
        <v>61</v>
      </c>
      <c r="J55" s="6" t="s">
        <v>60</v>
      </c>
      <c r="K55" s="6" t="s">
        <v>52</v>
      </c>
      <c r="L55" s="6" t="s">
        <v>60</v>
      </c>
      <c r="M55" s="6" t="s">
        <v>54</v>
      </c>
      <c r="N55" s="6" t="s">
        <v>62</v>
      </c>
    </row>
    <row r="56" customFormat="false" ht="32.8" hidden="false" customHeight="false" outlineLevel="0" collapsed="false">
      <c r="A56" s="6" t="s">
        <v>270</v>
      </c>
      <c r="B56" s="6" t="s">
        <v>21</v>
      </c>
      <c r="C56" s="6" t="s">
        <v>271</v>
      </c>
      <c r="D56" s="6" t="s">
        <v>272</v>
      </c>
      <c r="E56" s="6" t="s">
        <v>273</v>
      </c>
      <c r="F56" s="6" t="s">
        <v>60</v>
      </c>
      <c r="G56" s="6" t="s">
        <v>51</v>
      </c>
      <c r="H56" s="6" t="s">
        <v>60</v>
      </c>
      <c r="I56" s="6" t="s">
        <v>61</v>
      </c>
      <c r="J56" s="6" t="s">
        <v>60</v>
      </c>
      <c r="K56" s="6" t="s">
        <v>53</v>
      </c>
      <c r="L56" s="6" t="s">
        <v>60</v>
      </c>
      <c r="M56" s="6" t="s">
        <v>54</v>
      </c>
      <c r="N56" s="6" t="s">
        <v>62</v>
      </c>
    </row>
    <row r="57" customFormat="false" ht="32.8" hidden="false" customHeight="false" outlineLevel="0" collapsed="false">
      <c r="A57" s="6" t="s">
        <v>274</v>
      </c>
      <c r="B57" s="6" t="s">
        <v>21</v>
      </c>
      <c r="C57" s="6" t="s">
        <v>275</v>
      </c>
      <c r="D57" s="6" t="s">
        <v>276</v>
      </c>
      <c r="E57" s="6" t="s">
        <v>277</v>
      </c>
      <c r="F57" s="6" t="s">
        <v>50</v>
      </c>
      <c r="G57" s="6" t="s">
        <v>51</v>
      </c>
      <c r="H57" s="6" t="s">
        <v>60</v>
      </c>
      <c r="I57" s="6" t="s">
        <v>61</v>
      </c>
      <c r="J57" s="6" t="s">
        <v>60</v>
      </c>
      <c r="K57" s="6" t="s">
        <v>52</v>
      </c>
      <c r="L57" s="6" t="s">
        <v>60</v>
      </c>
      <c r="M57" s="6" t="s">
        <v>54</v>
      </c>
      <c r="N57" s="6" t="s">
        <v>62</v>
      </c>
    </row>
    <row r="58" customFormat="false" ht="22.35" hidden="false" customHeight="false" outlineLevel="0" collapsed="false">
      <c r="A58" s="6" t="s">
        <v>278</v>
      </c>
      <c r="B58" s="6" t="s">
        <v>23</v>
      </c>
      <c r="C58" s="6" t="s">
        <v>279</v>
      </c>
      <c r="D58" s="6" t="s">
        <v>280</v>
      </c>
      <c r="E58" s="6" t="s">
        <v>281</v>
      </c>
      <c r="F58" s="6" t="s">
        <v>72</v>
      </c>
      <c r="G58" s="6" t="s">
        <v>52</v>
      </c>
      <c r="H58" s="6" t="s">
        <v>67</v>
      </c>
      <c r="I58" s="6" t="s">
        <v>53</v>
      </c>
      <c r="J58" s="6" t="s">
        <v>67</v>
      </c>
      <c r="K58" s="6" t="s">
        <v>61</v>
      </c>
      <c r="L58" s="6" t="s">
        <v>67</v>
      </c>
      <c r="M58" s="6" t="s">
        <v>54</v>
      </c>
      <c r="N58" s="6" t="s">
        <v>128</v>
      </c>
    </row>
    <row r="59" customFormat="false" ht="43.25" hidden="false" customHeight="false" outlineLevel="0" collapsed="false">
      <c r="A59" s="6" t="s">
        <v>282</v>
      </c>
      <c r="B59" s="6" t="s">
        <v>23</v>
      </c>
      <c r="C59" s="6" t="s">
        <v>279</v>
      </c>
      <c r="D59" s="6" t="s">
        <v>283</v>
      </c>
      <c r="E59" s="6" t="s">
        <v>284</v>
      </c>
      <c r="F59" s="6" t="s">
        <v>50</v>
      </c>
      <c r="G59" s="6" t="s">
        <v>52</v>
      </c>
      <c r="H59" s="6" t="s">
        <v>50</v>
      </c>
      <c r="I59" s="6" t="s">
        <v>53</v>
      </c>
      <c r="J59" s="6" t="s">
        <v>50</v>
      </c>
      <c r="K59" s="6" t="s">
        <v>61</v>
      </c>
      <c r="L59" s="6" t="s">
        <v>50</v>
      </c>
      <c r="M59" s="6" t="s">
        <v>54</v>
      </c>
      <c r="N59" s="6" t="s">
        <v>55</v>
      </c>
    </row>
    <row r="60" customFormat="false" ht="32.8" hidden="false" customHeight="false" outlineLevel="0" collapsed="false">
      <c r="A60" s="6" t="s">
        <v>285</v>
      </c>
      <c r="B60" s="6" t="s">
        <v>21</v>
      </c>
      <c r="C60" s="6" t="s">
        <v>286</v>
      </c>
      <c r="D60" s="6" t="s">
        <v>287</v>
      </c>
      <c r="E60" s="6" t="s">
        <v>288</v>
      </c>
      <c r="F60" s="6" t="s">
        <v>67</v>
      </c>
      <c r="G60" s="6" t="s">
        <v>51</v>
      </c>
      <c r="H60" s="6" t="s">
        <v>67</v>
      </c>
      <c r="I60" s="6" t="s">
        <v>53</v>
      </c>
      <c r="J60" s="6" t="s">
        <v>60</v>
      </c>
      <c r="K60" s="6" t="s">
        <v>52</v>
      </c>
      <c r="L60" s="6" t="s">
        <v>60</v>
      </c>
      <c r="M60" s="6" t="s">
        <v>54</v>
      </c>
      <c r="N60" s="6" t="s">
        <v>62</v>
      </c>
    </row>
    <row r="61" customFormat="false" ht="32.8" hidden="false" customHeight="false" outlineLevel="0" collapsed="false">
      <c r="A61" s="6" t="s">
        <v>289</v>
      </c>
      <c r="B61" s="6" t="s">
        <v>21</v>
      </c>
      <c r="C61" s="6" t="s">
        <v>290</v>
      </c>
      <c r="D61" s="6" t="s">
        <v>291</v>
      </c>
      <c r="E61" s="6" t="s">
        <v>292</v>
      </c>
      <c r="F61" s="6" t="s">
        <v>50</v>
      </c>
      <c r="G61" s="6" t="s">
        <v>51</v>
      </c>
      <c r="H61" s="6" t="s">
        <v>50</v>
      </c>
      <c r="I61" s="6" t="s">
        <v>52</v>
      </c>
      <c r="J61" s="6" t="s">
        <v>50</v>
      </c>
      <c r="K61" s="6" t="s">
        <v>53</v>
      </c>
      <c r="L61" s="6" t="s">
        <v>50</v>
      </c>
      <c r="M61" s="6" t="s">
        <v>54</v>
      </c>
      <c r="N61" s="6" t="s">
        <v>55</v>
      </c>
    </row>
    <row r="62" customFormat="false" ht="43.25" hidden="false" customHeight="false" outlineLevel="0" collapsed="false">
      <c r="A62" s="6" t="s">
        <v>293</v>
      </c>
      <c r="B62" s="6" t="s">
        <v>21</v>
      </c>
      <c r="C62" s="6" t="s">
        <v>294</v>
      </c>
      <c r="D62" s="6" t="s">
        <v>295</v>
      </c>
      <c r="E62" s="6" t="s">
        <v>296</v>
      </c>
      <c r="F62" s="6" t="s">
        <v>50</v>
      </c>
      <c r="G62" s="6" t="s">
        <v>51</v>
      </c>
      <c r="H62" s="6" t="s">
        <v>50</v>
      </c>
      <c r="I62" s="6" t="s">
        <v>61</v>
      </c>
      <c r="J62" s="6" t="s">
        <v>50</v>
      </c>
      <c r="K62" s="6" t="s">
        <v>53</v>
      </c>
      <c r="L62" s="6" t="s">
        <v>50</v>
      </c>
      <c r="M62" s="6" t="s">
        <v>54</v>
      </c>
      <c r="N62" s="6" t="s">
        <v>55</v>
      </c>
    </row>
    <row r="63" customFormat="false" ht="32.8" hidden="false" customHeight="false" outlineLevel="0" collapsed="false">
      <c r="A63" s="6" t="s">
        <v>297</v>
      </c>
      <c r="B63" s="6" t="s">
        <v>24</v>
      </c>
      <c r="C63" s="6" t="s">
        <v>69</v>
      </c>
      <c r="D63" s="6" t="s">
        <v>298</v>
      </c>
      <c r="E63" s="6" t="s">
        <v>299</v>
      </c>
      <c r="F63" s="6" t="s">
        <v>85</v>
      </c>
      <c r="G63" s="6" t="s">
        <v>53</v>
      </c>
      <c r="H63" s="6" t="s">
        <v>85</v>
      </c>
      <c r="I63" s="6" t="s">
        <v>52</v>
      </c>
      <c r="J63" s="6" t="s">
        <v>85</v>
      </c>
      <c r="K63" s="6" t="s">
        <v>51</v>
      </c>
      <c r="L63" s="6" t="s">
        <v>85</v>
      </c>
      <c r="M63" s="6" t="s">
        <v>54</v>
      </c>
      <c r="N63" s="6" t="s">
        <v>300</v>
      </c>
    </row>
    <row r="64" customFormat="false" ht="43.25" hidden="false" customHeight="false" outlineLevel="0" collapsed="false">
      <c r="A64" s="6" t="s">
        <v>301</v>
      </c>
      <c r="B64" s="6" t="s">
        <v>24</v>
      </c>
      <c r="C64" s="6" t="s">
        <v>302</v>
      </c>
      <c r="D64" s="6" t="s">
        <v>303</v>
      </c>
      <c r="E64" s="6" t="s">
        <v>304</v>
      </c>
      <c r="F64" s="6" t="s">
        <v>85</v>
      </c>
      <c r="G64" s="6" t="s">
        <v>53</v>
      </c>
      <c r="H64" s="6" t="s">
        <v>85</v>
      </c>
      <c r="I64" s="6" t="s">
        <v>52</v>
      </c>
      <c r="J64" s="6" t="s">
        <v>85</v>
      </c>
      <c r="K64" s="6" t="s">
        <v>51</v>
      </c>
      <c r="L64" s="6" t="s">
        <v>85</v>
      </c>
      <c r="M64" s="6" t="s">
        <v>54</v>
      </c>
      <c r="N64" s="6" t="s">
        <v>305</v>
      </c>
    </row>
    <row r="65" customFormat="false" ht="32.8" hidden="false" customHeight="false" outlineLevel="0" collapsed="false">
      <c r="A65" s="6" t="s">
        <v>306</v>
      </c>
      <c r="B65" s="6" t="s">
        <v>24</v>
      </c>
      <c r="C65" s="6" t="s">
        <v>307</v>
      </c>
      <c r="D65" s="6" t="s">
        <v>308</v>
      </c>
      <c r="E65" s="6" t="s">
        <v>309</v>
      </c>
      <c r="F65" s="6" t="s">
        <v>50</v>
      </c>
      <c r="G65" s="6" t="s">
        <v>53</v>
      </c>
      <c r="H65" s="6" t="s">
        <v>85</v>
      </c>
      <c r="I65" s="6" t="s">
        <v>61</v>
      </c>
      <c r="J65" s="6" t="s">
        <v>85</v>
      </c>
      <c r="K65" s="6" t="s">
        <v>51</v>
      </c>
      <c r="L65" s="6" t="s">
        <v>85</v>
      </c>
      <c r="M65" s="6" t="s">
        <v>54</v>
      </c>
      <c r="N65" s="6" t="s">
        <v>310</v>
      </c>
    </row>
    <row r="66" customFormat="false" ht="32.8" hidden="false" customHeight="false" outlineLevel="0" collapsed="false">
      <c r="A66" s="6" t="s">
        <v>311</v>
      </c>
      <c r="B66" s="6" t="s">
        <v>24</v>
      </c>
      <c r="C66" s="6" t="s">
        <v>312</v>
      </c>
      <c r="D66" s="6" t="s">
        <v>313</v>
      </c>
      <c r="E66" s="6" t="s">
        <v>314</v>
      </c>
      <c r="F66" s="6" t="s">
        <v>85</v>
      </c>
      <c r="G66" s="6" t="s">
        <v>53</v>
      </c>
      <c r="H66" s="6" t="s">
        <v>85</v>
      </c>
      <c r="I66" s="6" t="s">
        <v>61</v>
      </c>
      <c r="J66" s="6" t="s">
        <v>85</v>
      </c>
      <c r="K66" s="6" t="s">
        <v>51</v>
      </c>
      <c r="L66" s="6" t="s">
        <v>85</v>
      </c>
      <c r="M66" s="6" t="s">
        <v>54</v>
      </c>
      <c r="N66" s="6" t="s">
        <v>315</v>
      </c>
    </row>
    <row r="67" customFormat="false" ht="32.8" hidden="false" customHeight="false" outlineLevel="0" collapsed="false">
      <c r="A67" s="6" t="s">
        <v>316</v>
      </c>
      <c r="B67" s="6" t="s">
        <v>24</v>
      </c>
      <c r="C67" s="6" t="s">
        <v>317</v>
      </c>
      <c r="D67" s="6" t="s">
        <v>318</v>
      </c>
      <c r="E67" s="6" t="s">
        <v>319</v>
      </c>
      <c r="F67" s="6" t="s">
        <v>50</v>
      </c>
      <c r="G67" s="6" t="s">
        <v>53</v>
      </c>
      <c r="H67" s="6" t="s">
        <v>50</v>
      </c>
      <c r="I67" s="6" t="s">
        <v>61</v>
      </c>
      <c r="J67" s="6" t="s">
        <v>50</v>
      </c>
      <c r="K67" s="6" t="s">
        <v>51</v>
      </c>
      <c r="L67" s="6" t="s">
        <v>50</v>
      </c>
      <c r="M67" s="6" t="s">
        <v>54</v>
      </c>
      <c r="N67" s="6" t="s">
        <v>55</v>
      </c>
    </row>
    <row r="68" customFormat="false" ht="43.25" hidden="false" customHeight="false" outlineLevel="0" collapsed="false">
      <c r="A68" s="6" t="s">
        <v>320</v>
      </c>
      <c r="B68" s="6" t="s">
        <v>24</v>
      </c>
      <c r="C68" s="6" t="s">
        <v>321</v>
      </c>
      <c r="D68" s="6" t="s">
        <v>322</v>
      </c>
      <c r="E68" s="6" t="s">
        <v>323</v>
      </c>
      <c r="F68" s="6" t="s">
        <v>85</v>
      </c>
      <c r="G68" s="6" t="s">
        <v>53</v>
      </c>
      <c r="H68" s="6" t="s">
        <v>85</v>
      </c>
      <c r="I68" s="6" t="s">
        <v>61</v>
      </c>
      <c r="J68" s="6" t="s">
        <v>85</v>
      </c>
      <c r="K68" s="6" t="s">
        <v>51</v>
      </c>
      <c r="L68" s="6" t="s">
        <v>85</v>
      </c>
      <c r="M68" s="6" t="s">
        <v>54</v>
      </c>
      <c r="N68" s="6" t="s">
        <v>324</v>
      </c>
    </row>
    <row r="69" customFormat="false" ht="32.8" hidden="false" customHeight="false" outlineLevel="0" collapsed="false">
      <c r="A69" s="6" t="s">
        <v>325</v>
      </c>
      <c r="B69" s="6" t="s">
        <v>24</v>
      </c>
      <c r="C69" s="6" t="s">
        <v>326</v>
      </c>
      <c r="D69" s="6" t="s">
        <v>327</v>
      </c>
      <c r="E69" s="6" t="s">
        <v>328</v>
      </c>
      <c r="F69" s="6" t="s">
        <v>85</v>
      </c>
      <c r="G69" s="6" t="s">
        <v>53</v>
      </c>
      <c r="H69" s="6" t="s">
        <v>85</v>
      </c>
      <c r="I69" s="6" t="s">
        <v>52</v>
      </c>
      <c r="J69" s="6" t="s">
        <v>50</v>
      </c>
      <c r="K69" s="6" t="s">
        <v>51</v>
      </c>
      <c r="L69" s="6" t="s">
        <v>50</v>
      </c>
      <c r="M69" s="6" t="s">
        <v>54</v>
      </c>
      <c r="N69" s="6" t="s">
        <v>55</v>
      </c>
    </row>
    <row r="70" customFormat="false" ht="74.6" hidden="false" customHeight="false" outlineLevel="0" collapsed="false">
      <c r="A70" s="6" t="s">
        <v>329</v>
      </c>
      <c r="B70" s="6" t="s">
        <v>22</v>
      </c>
      <c r="C70" s="6" t="s">
        <v>330</v>
      </c>
      <c r="D70" s="6" t="s">
        <v>331</v>
      </c>
      <c r="E70" s="6" t="s">
        <v>332</v>
      </c>
      <c r="F70" s="6" t="s">
        <v>50</v>
      </c>
      <c r="G70" s="6" t="s">
        <v>51</v>
      </c>
      <c r="H70" s="6" t="s">
        <v>50</v>
      </c>
      <c r="I70" s="6" t="s">
        <v>61</v>
      </c>
      <c r="J70" s="6" t="s">
        <v>72</v>
      </c>
      <c r="K70" s="6" t="s">
        <v>52</v>
      </c>
      <c r="L70" s="6" t="s">
        <v>72</v>
      </c>
      <c r="M70" s="6" t="s">
        <v>54</v>
      </c>
      <c r="N70" s="6" t="s">
        <v>73</v>
      </c>
    </row>
    <row r="71" customFormat="false" ht="22.35" hidden="false" customHeight="false" outlineLevel="0" collapsed="false">
      <c r="A71" s="6" t="s">
        <v>333</v>
      </c>
      <c r="B71" s="6" t="s">
        <v>23</v>
      </c>
      <c r="C71" s="6" t="s">
        <v>279</v>
      </c>
      <c r="D71" s="6" t="s">
        <v>334</v>
      </c>
      <c r="E71" s="6" t="s">
        <v>335</v>
      </c>
      <c r="F71" s="6" t="s">
        <v>72</v>
      </c>
      <c r="G71" s="6" t="s">
        <v>52</v>
      </c>
      <c r="H71" s="6" t="s">
        <v>72</v>
      </c>
      <c r="I71" s="6" t="s">
        <v>53</v>
      </c>
      <c r="J71" s="6" t="s">
        <v>67</v>
      </c>
      <c r="K71" s="6" t="s">
        <v>61</v>
      </c>
      <c r="L71" s="6" t="s">
        <v>67</v>
      </c>
      <c r="M71" s="6" t="s">
        <v>54</v>
      </c>
      <c r="N71" s="6" t="s">
        <v>128</v>
      </c>
    </row>
    <row r="72" customFormat="false" ht="32.8" hidden="false" customHeight="false" outlineLevel="0" collapsed="false">
      <c r="A72" s="6" t="s">
        <v>336</v>
      </c>
      <c r="B72" s="6" t="s">
        <v>22</v>
      </c>
      <c r="C72" s="6" t="s">
        <v>337</v>
      </c>
      <c r="D72" s="6" t="s">
        <v>338</v>
      </c>
      <c r="E72" s="6" t="s">
        <v>339</v>
      </c>
      <c r="F72" s="6" t="s">
        <v>50</v>
      </c>
      <c r="G72" s="6" t="s">
        <v>51</v>
      </c>
      <c r="H72" s="6" t="s">
        <v>50</v>
      </c>
      <c r="I72" s="6" t="s">
        <v>61</v>
      </c>
      <c r="J72" s="6" t="s">
        <v>50</v>
      </c>
      <c r="K72" s="6" t="s">
        <v>53</v>
      </c>
      <c r="L72" s="6" t="s">
        <v>50</v>
      </c>
      <c r="M72" s="6" t="s">
        <v>54</v>
      </c>
      <c r="N72" s="6" t="s">
        <v>55</v>
      </c>
    </row>
    <row r="73" customFormat="false" ht="32.8" hidden="false" customHeight="false" outlineLevel="0" collapsed="false">
      <c r="A73" s="6" t="s">
        <v>340</v>
      </c>
      <c r="B73" s="6" t="s">
        <v>24</v>
      </c>
      <c r="C73" s="6" t="s">
        <v>341</v>
      </c>
      <c r="D73" s="6" t="s">
        <v>342</v>
      </c>
      <c r="E73" s="6" t="s">
        <v>343</v>
      </c>
      <c r="F73" s="6" t="s">
        <v>72</v>
      </c>
      <c r="G73" s="6" t="s">
        <v>52</v>
      </c>
      <c r="H73" s="6" t="s">
        <v>60</v>
      </c>
      <c r="I73" s="6" t="s">
        <v>53</v>
      </c>
      <c r="J73" s="6" t="s">
        <v>67</v>
      </c>
      <c r="K73" s="6" t="s">
        <v>61</v>
      </c>
      <c r="L73" s="6" t="s">
        <v>67</v>
      </c>
      <c r="M73" s="6" t="s">
        <v>54</v>
      </c>
      <c r="N73" s="6" t="s">
        <v>128</v>
      </c>
    </row>
    <row r="74" customFormat="false" ht="43.25" hidden="false" customHeight="false" outlineLevel="0" collapsed="false">
      <c r="A74" s="6" t="s">
        <v>344</v>
      </c>
      <c r="B74" s="6" t="s">
        <v>22</v>
      </c>
      <c r="C74" s="6" t="s">
        <v>345</v>
      </c>
      <c r="D74" s="6" t="s">
        <v>346</v>
      </c>
      <c r="E74" s="6" t="s">
        <v>347</v>
      </c>
      <c r="F74" s="6" t="s">
        <v>67</v>
      </c>
      <c r="G74" s="6" t="s">
        <v>51</v>
      </c>
      <c r="H74" s="6" t="s">
        <v>72</v>
      </c>
      <c r="I74" s="6" t="s">
        <v>53</v>
      </c>
      <c r="J74" s="6" t="s">
        <v>72</v>
      </c>
      <c r="K74" s="6" t="s">
        <v>52</v>
      </c>
      <c r="L74" s="6" t="s">
        <v>72</v>
      </c>
      <c r="M74" s="6" t="s">
        <v>54</v>
      </c>
      <c r="N74" s="6" t="s">
        <v>73</v>
      </c>
    </row>
    <row r="75" customFormat="false" ht="32.8" hidden="false" customHeight="false" outlineLevel="0" collapsed="false">
      <c r="A75" s="6" t="s">
        <v>348</v>
      </c>
      <c r="B75" s="6" t="s">
        <v>24</v>
      </c>
      <c r="C75" s="6" t="s">
        <v>341</v>
      </c>
      <c r="D75" s="6" t="s">
        <v>349</v>
      </c>
      <c r="E75" s="6" t="s">
        <v>350</v>
      </c>
      <c r="F75" s="6" t="s">
        <v>60</v>
      </c>
      <c r="G75" s="6" t="s">
        <v>52</v>
      </c>
      <c r="H75" s="6" t="s">
        <v>67</v>
      </c>
      <c r="I75" s="6" t="s">
        <v>53</v>
      </c>
      <c r="J75" s="6" t="s">
        <v>67</v>
      </c>
      <c r="K75" s="6" t="s">
        <v>61</v>
      </c>
      <c r="L75" s="6" t="s">
        <v>67</v>
      </c>
      <c r="M75" s="6" t="s">
        <v>54</v>
      </c>
      <c r="N75" s="6" t="s">
        <v>128</v>
      </c>
    </row>
    <row r="76" customFormat="false" ht="53.7" hidden="false" customHeight="false" outlineLevel="0" collapsed="false">
      <c r="A76" s="6" t="s">
        <v>351</v>
      </c>
      <c r="B76" s="6" t="s">
        <v>22</v>
      </c>
      <c r="C76" s="6" t="s">
        <v>352</v>
      </c>
      <c r="D76" s="6" t="s">
        <v>353</v>
      </c>
      <c r="E76" s="6" t="s">
        <v>354</v>
      </c>
      <c r="F76" s="6" t="s">
        <v>67</v>
      </c>
      <c r="G76" s="6" t="s">
        <v>51</v>
      </c>
      <c r="H76" s="6" t="s">
        <v>67</v>
      </c>
      <c r="I76" s="6" t="s">
        <v>53</v>
      </c>
      <c r="J76" s="6" t="s">
        <v>67</v>
      </c>
      <c r="K76" s="6" t="s">
        <v>52</v>
      </c>
      <c r="L76" s="6" t="s">
        <v>67</v>
      </c>
      <c r="M76" s="6" t="s">
        <v>54</v>
      </c>
      <c r="N76" s="6" t="s">
        <v>128</v>
      </c>
    </row>
    <row r="77" customFormat="false" ht="43.25" hidden="false" customHeight="false" outlineLevel="0" collapsed="false">
      <c r="A77" s="6" t="s">
        <v>355</v>
      </c>
      <c r="B77" s="6" t="s">
        <v>22</v>
      </c>
      <c r="C77" s="6" t="s">
        <v>356</v>
      </c>
      <c r="D77" s="6" t="s">
        <v>357</v>
      </c>
      <c r="E77" s="6" t="s">
        <v>358</v>
      </c>
      <c r="F77" s="6" t="s">
        <v>67</v>
      </c>
      <c r="G77" s="6" t="s">
        <v>51</v>
      </c>
      <c r="H77" s="6" t="s">
        <v>67</v>
      </c>
      <c r="I77" s="6" t="s">
        <v>52</v>
      </c>
      <c r="J77" s="6" t="s">
        <v>67</v>
      </c>
      <c r="K77" s="6" t="s">
        <v>53</v>
      </c>
      <c r="L77" s="6" t="s">
        <v>67</v>
      </c>
      <c r="M77" s="6" t="s">
        <v>54</v>
      </c>
      <c r="N77" s="6" t="s">
        <v>128</v>
      </c>
    </row>
    <row r="78" customFormat="false" ht="22.35" hidden="false" customHeight="false" outlineLevel="0" collapsed="false">
      <c r="A78" s="6" t="s">
        <v>359</v>
      </c>
      <c r="B78" s="6" t="s">
        <v>23</v>
      </c>
      <c r="C78" s="6" t="s">
        <v>279</v>
      </c>
      <c r="D78" s="6" t="s">
        <v>360</v>
      </c>
      <c r="E78" s="6" t="s">
        <v>361</v>
      </c>
      <c r="F78" s="6" t="s">
        <v>85</v>
      </c>
      <c r="G78" s="6" t="s">
        <v>52</v>
      </c>
      <c r="H78" s="6" t="s">
        <v>85</v>
      </c>
      <c r="I78" s="6" t="s">
        <v>53</v>
      </c>
      <c r="J78" s="6" t="s">
        <v>85</v>
      </c>
      <c r="K78" s="6" t="s">
        <v>61</v>
      </c>
      <c r="L78" s="6" t="s">
        <v>85</v>
      </c>
      <c r="M78" s="6" t="s">
        <v>54</v>
      </c>
      <c r="N78" s="6" t="s">
        <v>362</v>
      </c>
    </row>
    <row r="79" customFormat="false" ht="43.25" hidden="false" customHeight="false" outlineLevel="0" collapsed="false">
      <c r="A79" s="6" t="s">
        <v>363</v>
      </c>
      <c r="B79" s="6" t="s">
        <v>22</v>
      </c>
      <c r="C79" s="6" t="s">
        <v>364</v>
      </c>
      <c r="D79" s="6" t="s">
        <v>365</v>
      </c>
      <c r="E79" s="6" t="s">
        <v>366</v>
      </c>
      <c r="F79" s="6" t="s">
        <v>67</v>
      </c>
      <c r="G79" s="6" t="s">
        <v>51</v>
      </c>
      <c r="H79" s="6" t="s">
        <v>72</v>
      </c>
      <c r="I79" s="6" t="s">
        <v>61</v>
      </c>
      <c r="J79" s="6" t="s">
        <v>72</v>
      </c>
      <c r="K79" s="6" t="s">
        <v>53</v>
      </c>
      <c r="L79" s="6" t="s">
        <v>72</v>
      </c>
      <c r="M79" s="6" t="s">
        <v>54</v>
      </c>
      <c r="N79" s="6" t="s">
        <v>73</v>
      </c>
    </row>
    <row r="80" customFormat="false" ht="53.7" hidden="false" customHeight="false" outlineLevel="0" collapsed="false">
      <c r="A80" s="6" t="s">
        <v>367</v>
      </c>
      <c r="B80" s="6" t="s">
        <v>22</v>
      </c>
      <c r="C80" s="6" t="s">
        <v>146</v>
      </c>
      <c r="D80" s="6" t="s">
        <v>368</v>
      </c>
      <c r="E80" s="6" t="s">
        <v>369</v>
      </c>
      <c r="F80" s="6" t="s">
        <v>60</v>
      </c>
      <c r="G80" s="6" t="s">
        <v>51</v>
      </c>
      <c r="H80" s="6" t="s">
        <v>60</v>
      </c>
      <c r="I80" s="6" t="s">
        <v>53</v>
      </c>
      <c r="J80" s="6" t="s">
        <v>72</v>
      </c>
      <c r="K80" s="6" t="s">
        <v>52</v>
      </c>
      <c r="L80" s="6" t="s">
        <v>72</v>
      </c>
      <c r="M80" s="6" t="s">
        <v>54</v>
      </c>
      <c r="N80" s="6" t="s">
        <v>73</v>
      </c>
    </row>
    <row r="81" customFormat="false" ht="32.8" hidden="false" customHeight="false" outlineLevel="0" collapsed="false">
      <c r="A81" s="6" t="s">
        <v>370</v>
      </c>
      <c r="B81" s="6" t="s">
        <v>21</v>
      </c>
      <c r="C81" s="6" t="s">
        <v>371</v>
      </c>
      <c r="D81" s="6" t="s">
        <v>372</v>
      </c>
      <c r="E81" s="6" t="s">
        <v>373</v>
      </c>
      <c r="F81" s="6" t="s">
        <v>85</v>
      </c>
      <c r="G81" s="6" t="s">
        <v>51</v>
      </c>
      <c r="H81" s="6" t="s">
        <v>50</v>
      </c>
      <c r="I81" s="6" t="s">
        <v>52</v>
      </c>
      <c r="J81" s="6" t="s">
        <v>85</v>
      </c>
      <c r="K81" s="6" t="s">
        <v>61</v>
      </c>
      <c r="L81" s="6" t="s">
        <v>85</v>
      </c>
      <c r="M81" s="6" t="s">
        <v>54</v>
      </c>
      <c r="N81" s="6" t="s">
        <v>374</v>
      </c>
    </row>
    <row r="82" customFormat="false" ht="53.7" hidden="false" customHeight="false" outlineLevel="0" collapsed="false">
      <c r="A82" s="6" t="s">
        <v>375</v>
      </c>
      <c r="B82" s="6" t="s">
        <v>22</v>
      </c>
      <c r="C82" s="6" t="s">
        <v>376</v>
      </c>
      <c r="D82" s="6" t="s">
        <v>377</v>
      </c>
      <c r="E82" s="6" t="s">
        <v>378</v>
      </c>
      <c r="F82" s="6" t="s">
        <v>72</v>
      </c>
      <c r="G82" s="6" t="s">
        <v>51</v>
      </c>
      <c r="H82" s="6" t="s">
        <v>72</v>
      </c>
      <c r="I82" s="6" t="s">
        <v>52</v>
      </c>
      <c r="J82" s="6" t="s">
        <v>72</v>
      </c>
      <c r="K82" s="6" t="s">
        <v>53</v>
      </c>
      <c r="L82" s="6" t="s">
        <v>72</v>
      </c>
      <c r="M82" s="6" t="s">
        <v>54</v>
      </c>
      <c r="N82" s="6" t="s">
        <v>73</v>
      </c>
    </row>
    <row r="83" customFormat="false" ht="43.25" hidden="false" customHeight="false" outlineLevel="0" collapsed="false">
      <c r="A83" s="6" t="s">
        <v>379</v>
      </c>
      <c r="B83" s="6" t="s">
        <v>22</v>
      </c>
      <c r="C83" s="6" t="s">
        <v>380</v>
      </c>
      <c r="D83" s="6" t="s">
        <v>381</v>
      </c>
      <c r="E83" s="6" t="s">
        <v>382</v>
      </c>
      <c r="F83" s="6" t="s">
        <v>50</v>
      </c>
      <c r="G83" s="6" t="s">
        <v>51</v>
      </c>
      <c r="H83" s="6" t="s">
        <v>50</v>
      </c>
      <c r="I83" s="6" t="s">
        <v>53</v>
      </c>
      <c r="J83" s="6" t="s">
        <v>72</v>
      </c>
      <c r="K83" s="6" t="s">
        <v>52</v>
      </c>
      <c r="L83" s="6" t="s">
        <v>72</v>
      </c>
      <c r="M83" s="6" t="s">
        <v>54</v>
      </c>
      <c r="N83" s="6" t="s">
        <v>73</v>
      </c>
    </row>
    <row r="84" customFormat="false" ht="43.25" hidden="false" customHeight="false" outlineLevel="0" collapsed="false">
      <c r="A84" s="6" t="s">
        <v>383</v>
      </c>
      <c r="B84" s="6" t="s">
        <v>22</v>
      </c>
      <c r="C84" s="6" t="s">
        <v>384</v>
      </c>
      <c r="D84" s="6" t="s">
        <v>385</v>
      </c>
      <c r="E84" s="6" t="s">
        <v>386</v>
      </c>
      <c r="F84" s="6" t="s">
        <v>50</v>
      </c>
      <c r="G84" s="6" t="s">
        <v>51</v>
      </c>
      <c r="H84" s="6" t="s">
        <v>50</v>
      </c>
      <c r="I84" s="6" t="s">
        <v>61</v>
      </c>
      <c r="J84" s="6" t="s">
        <v>50</v>
      </c>
      <c r="K84" s="6" t="s">
        <v>53</v>
      </c>
      <c r="L84" s="6" t="s">
        <v>50</v>
      </c>
      <c r="M84" s="6" t="s">
        <v>54</v>
      </c>
      <c r="N84" s="6" t="s">
        <v>55</v>
      </c>
    </row>
    <row r="85" customFormat="false" ht="43.25" hidden="false" customHeight="false" outlineLevel="0" collapsed="false">
      <c r="A85" s="6" t="s">
        <v>387</v>
      </c>
      <c r="B85" s="6" t="s">
        <v>21</v>
      </c>
      <c r="C85" s="6" t="s">
        <v>388</v>
      </c>
      <c r="D85" s="6" t="s">
        <v>389</v>
      </c>
      <c r="E85" s="6" t="s">
        <v>390</v>
      </c>
      <c r="F85" s="6" t="s">
        <v>50</v>
      </c>
      <c r="G85" s="6" t="s">
        <v>51</v>
      </c>
      <c r="H85" s="6" t="s">
        <v>50</v>
      </c>
      <c r="I85" s="6" t="s">
        <v>52</v>
      </c>
      <c r="J85" s="6" t="s">
        <v>50</v>
      </c>
      <c r="K85" s="6" t="s">
        <v>61</v>
      </c>
      <c r="L85" s="6" t="s">
        <v>50</v>
      </c>
      <c r="M85" s="6" t="s">
        <v>54</v>
      </c>
      <c r="N85" s="6" t="s">
        <v>55</v>
      </c>
    </row>
    <row r="86" customFormat="false" ht="43.25" hidden="false" customHeight="false" outlineLevel="0" collapsed="false">
      <c r="A86" s="6" t="s">
        <v>391</v>
      </c>
      <c r="B86" s="6" t="s">
        <v>22</v>
      </c>
      <c r="C86" s="6" t="s">
        <v>392</v>
      </c>
      <c r="D86" s="6" t="s">
        <v>393</v>
      </c>
      <c r="E86" s="6" t="s">
        <v>394</v>
      </c>
      <c r="F86" s="6" t="s">
        <v>50</v>
      </c>
      <c r="G86" s="6" t="s">
        <v>51</v>
      </c>
      <c r="H86" s="6" t="s">
        <v>50</v>
      </c>
      <c r="I86" s="6" t="s">
        <v>61</v>
      </c>
      <c r="J86" s="6" t="s">
        <v>50</v>
      </c>
      <c r="K86" s="6" t="s">
        <v>52</v>
      </c>
      <c r="L86" s="6" t="s">
        <v>50</v>
      </c>
      <c r="M86" s="6" t="s">
        <v>54</v>
      </c>
      <c r="N86" s="6" t="s">
        <v>55</v>
      </c>
    </row>
    <row r="87" customFormat="false" ht="64.15" hidden="false" customHeight="false" outlineLevel="0" collapsed="false">
      <c r="A87" s="6" t="s">
        <v>395</v>
      </c>
      <c r="B87" s="6" t="s">
        <v>22</v>
      </c>
      <c r="C87" s="6" t="s">
        <v>396</v>
      </c>
      <c r="D87" s="6" t="s">
        <v>397</v>
      </c>
      <c r="E87" s="6" t="s">
        <v>398</v>
      </c>
      <c r="F87" s="6" t="s">
        <v>50</v>
      </c>
      <c r="G87" s="6" t="s">
        <v>51</v>
      </c>
      <c r="H87" s="6" t="s">
        <v>50</v>
      </c>
      <c r="I87" s="6" t="s">
        <v>52</v>
      </c>
      <c r="J87" s="6" t="s">
        <v>50</v>
      </c>
      <c r="K87" s="6" t="s">
        <v>53</v>
      </c>
      <c r="L87" s="6" t="s">
        <v>50</v>
      </c>
      <c r="M87" s="6" t="s">
        <v>54</v>
      </c>
      <c r="N87" s="6" t="s">
        <v>55</v>
      </c>
    </row>
    <row r="88" customFormat="false" ht="32.8" hidden="false" customHeight="false" outlineLevel="0" collapsed="false">
      <c r="A88" s="6" t="s">
        <v>399</v>
      </c>
      <c r="B88" s="6" t="s">
        <v>21</v>
      </c>
      <c r="C88" s="6" t="s">
        <v>400</v>
      </c>
      <c r="D88" s="6" t="s">
        <v>401</v>
      </c>
      <c r="E88" s="6" t="s">
        <v>402</v>
      </c>
      <c r="F88" s="6" t="s">
        <v>67</v>
      </c>
      <c r="G88" s="6" t="s">
        <v>51</v>
      </c>
      <c r="H88" s="6" t="s">
        <v>67</v>
      </c>
      <c r="I88" s="6" t="s">
        <v>52</v>
      </c>
      <c r="J88" s="6" t="s">
        <v>67</v>
      </c>
      <c r="K88" s="6" t="s">
        <v>53</v>
      </c>
      <c r="L88" s="6" t="s">
        <v>67</v>
      </c>
      <c r="M88" s="6" t="s">
        <v>54</v>
      </c>
      <c r="N88" s="6" t="s">
        <v>128</v>
      </c>
    </row>
    <row r="89" customFormat="false" ht="43.25" hidden="false" customHeight="false" outlineLevel="0" collapsed="false">
      <c r="A89" s="6" t="s">
        <v>403</v>
      </c>
      <c r="B89" s="6" t="s">
        <v>21</v>
      </c>
      <c r="C89" s="6" t="s">
        <v>404</v>
      </c>
      <c r="D89" s="6" t="s">
        <v>405</v>
      </c>
      <c r="E89" s="6" t="s">
        <v>406</v>
      </c>
      <c r="F89" s="6" t="s">
        <v>60</v>
      </c>
      <c r="G89" s="6" t="s">
        <v>51</v>
      </c>
      <c r="H89" s="6" t="s">
        <v>60</v>
      </c>
      <c r="I89" s="6" t="s">
        <v>52</v>
      </c>
      <c r="J89" s="6" t="s">
        <v>60</v>
      </c>
      <c r="K89" s="6" t="s">
        <v>61</v>
      </c>
      <c r="L89" s="6" t="s">
        <v>60</v>
      </c>
      <c r="M89" s="6" t="s">
        <v>54</v>
      </c>
      <c r="N89" s="6" t="s">
        <v>62</v>
      </c>
    </row>
    <row r="90" customFormat="false" ht="22.35" hidden="false" customHeight="false" outlineLevel="0" collapsed="false">
      <c r="A90" s="6" t="s">
        <v>407</v>
      </c>
      <c r="B90" s="6" t="s">
        <v>21</v>
      </c>
      <c r="C90" s="6" t="s">
        <v>408</v>
      </c>
      <c r="D90" s="6" t="s">
        <v>409</v>
      </c>
      <c r="E90" s="6" t="s">
        <v>410</v>
      </c>
      <c r="F90" s="6" t="s">
        <v>60</v>
      </c>
      <c r="G90" s="6" t="s">
        <v>51</v>
      </c>
      <c r="H90" s="6" t="s">
        <v>60</v>
      </c>
      <c r="I90" s="6" t="s">
        <v>53</v>
      </c>
      <c r="J90" s="6" t="s">
        <v>60</v>
      </c>
      <c r="K90" s="6" t="s">
        <v>52</v>
      </c>
      <c r="L90" s="6" t="s">
        <v>60</v>
      </c>
      <c r="M90" s="6" t="s">
        <v>54</v>
      </c>
      <c r="N90" s="6" t="s">
        <v>62</v>
      </c>
    </row>
    <row r="91" customFormat="false" ht="32.8" hidden="false" customHeight="false" outlineLevel="0" collapsed="false">
      <c r="A91" s="6" t="s">
        <v>411</v>
      </c>
      <c r="B91" s="6" t="s">
        <v>21</v>
      </c>
      <c r="C91" s="6" t="s">
        <v>412</v>
      </c>
      <c r="D91" s="6" t="s">
        <v>413</v>
      </c>
      <c r="E91" s="6" t="s">
        <v>414</v>
      </c>
      <c r="F91" s="6" t="s">
        <v>67</v>
      </c>
      <c r="G91" s="6" t="s">
        <v>51</v>
      </c>
      <c r="H91" s="6" t="s">
        <v>67</v>
      </c>
      <c r="I91" s="6" t="s">
        <v>52</v>
      </c>
      <c r="J91" s="6" t="s">
        <v>67</v>
      </c>
      <c r="K91" s="6" t="s">
        <v>53</v>
      </c>
      <c r="L91" s="6" t="s">
        <v>67</v>
      </c>
      <c r="M91" s="6" t="s">
        <v>54</v>
      </c>
      <c r="N91" s="6" t="s">
        <v>128</v>
      </c>
    </row>
    <row r="92" customFormat="false" ht="32.8" hidden="false" customHeight="false" outlineLevel="0" collapsed="false">
      <c r="A92" s="6" t="s">
        <v>415</v>
      </c>
      <c r="B92" s="6" t="s">
        <v>21</v>
      </c>
      <c r="C92" s="6" t="s">
        <v>416</v>
      </c>
      <c r="D92" s="6" t="s">
        <v>417</v>
      </c>
      <c r="E92" s="6" t="s">
        <v>418</v>
      </c>
      <c r="F92" s="6" t="s">
        <v>72</v>
      </c>
      <c r="G92" s="6" t="s">
        <v>51</v>
      </c>
      <c r="H92" s="6" t="s">
        <v>72</v>
      </c>
      <c r="I92" s="6" t="s">
        <v>52</v>
      </c>
      <c r="J92" s="6" t="s">
        <v>72</v>
      </c>
      <c r="K92" s="6" t="s">
        <v>61</v>
      </c>
      <c r="L92" s="6" t="s">
        <v>72</v>
      </c>
      <c r="M92" s="6" t="s">
        <v>54</v>
      </c>
      <c r="N92" s="6" t="s">
        <v>73</v>
      </c>
    </row>
    <row r="93" customFormat="false" ht="43.25" hidden="false" customHeight="false" outlineLevel="0" collapsed="false">
      <c r="A93" s="6" t="s">
        <v>419</v>
      </c>
      <c r="B93" s="6" t="s">
        <v>21</v>
      </c>
      <c r="C93" s="6" t="s">
        <v>420</v>
      </c>
      <c r="D93" s="6" t="s">
        <v>421</v>
      </c>
      <c r="E93" s="6" t="s">
        <v>422</v>
      </c>
      <c r="F93" s="6" t="s">
        <v>67</v>
      </c>
      <c r="G93" s="6" t="s">
        <v>51</v>
      </c>
      <c r="H93" s="6" t="s">
        <v>72</v>
      </c>
      <c r="I93" s="6" t="s">
        <v>52</v>
      </c>
      <c r="J93" s="6" t="s">
        <v>72</v>
      </c>
      <c r="K93" s="6" t="s">
        <v>53</v>
      </c>
      <c r="L93" s="6" t="s">
        <v>72</v>
      </c>
      <c r="M93" s="6" t="s">
        <v>54</v>
      </c>
      <c r="N93" s="6" t="s">
        <v>73</v>
      </c>
    </row>
    <row r="94" customFormat="false" ht="53.7" hidden="false" customHeight="false" outlineLevel="0" collapsed="false">
      <c r="A94" s="6" t="s">
        <v>423</v>
      </c>
      <c r="B94" s="6" t="s">
        <v>21</v>
      </c>
      <c r="C94" s="6" t="s">
        <v>424</v>
      </c>
      <c r="D94" s="6" t="s">
        <v>425</v>
      </c>
      <c r="E94" s="6" t="s">
        <v>426</v>
      </c>
      <c r="F94" s="6" t="s">
        <v>67</v>
      </c>
      <c r="G94" s="6" t="s">
        <v>51</v>
      </c>
      <c r="H94" s="6" t="s">
        <v>72</v>
      </c>
      <c r="I94" s="6" t="s">
        <v>52</v>
      </c>
      <c r="J94" s="6" t="s">
        <v>67</v>
      </c>
      <c r="K94" s="6" t="s">
        <v>61</v>
      </c>
      <c r="L94" s="6" t="s">
        <v>67</v>
      </c>
      <c r="M94" s="6" t="s">
        <v>54</v>
      </c>
      <c r="N94" s="6" t="s">
        <v>128</v>
      </c>
    </row>
    <row r="95" customFormat="false" ht="53.7" hidden="false" customHeight="false" outlineLevel="0" collapsed="false">
      <c r="A95" s="6" t="s">
        <v>427</v>
      </c>
      <c r="B95" s="6" t="s">
        <v>21</v>
      </c>
      <c r="C95" s="6" t="s">
        <v>428</v>
      </c>
      <c r="D95" s="6" t="s">
        <v>429</v>
      </c>
      <c r="E95" s="6" t="s">
        <v>430</v>
      </c>
      <c r="F95" s="6" t="s">
        <v>60</v>
      </c>
      <c r="G95" s="6" t="s">
        <v>51</v>
      </c>
      <c r="H95" s="6" t="s">
        <v>60</v>
      </c>
      <c r="I95" s="6" t="s">
        <v>53</v>
      </c>
      <c r="J95" s="6" t="s">
        <v>72</v>
      </c>
      <c r="K95" s="6" t="s">
        <v>52</v>
      </c>
      <c r="L95" s="6" t="s">
        <v>72</v>
      </c>
      <c r="M95" s="6" t="s">
        <v>54</v>
      </c>
      <c r="N95" s="6" t="s">
        <v>73</v>
      </c>
    </row>
    <row r="96" customFormat="false" ht="22.35" hidden="false" customHeight="false" outlineLevel="0" collapsed="false">
      <c r="A96" s="6" t="s">
        <v>431</v>
      </c>
      <c r="B96" s="6" t="s">
        <v>21</v>
      </c>
      <c r="C96" s="6" t="s">
        <v>432</v>
      </c>
      <c r="D96" s="6" t="s">
        <v>433</v>
      </c>
      <c r="E96" s="6" t="s">
        <v>434</v>
      </c>
      <c r="F96" s="6" t="s">
        <v>67</v>
      </c>
      <c r="G96" s="6" t="s">
        <v>51</v>
      </c>
      <c r="H96" s="6" t="s">
        <v>72</v>
      </c>
      <c r="I96" s="6" t="s">
        <v>52</v>
      </c>
      <c r="J96" s="6" t="s">
        <v>72</v>
      </c>
      <c r="K96" s="6" t="s">
        <v>53</v>
      </c>
      <c r="L96" s="6" t="s">
        <v>72</v>
      </c>
      <c r="M96" s="6" t="s">
        <v>54</v>
      </c>
      <c r="N96" s="6" t="s">
        <v>73</v>
      </c>
    </row>
    <row r="97" customFormat="false" ht="32.8" hidden="false" customHeight="false" outlineLevel="0" collapsed="false">
      <c r="A97" s="6" t="s">
        <v>435</v>
      </c>
      <c r="B97" s="6" t="s">
        <v>21</v>
      </c>
      <c r="C97" s="6" t="s">
        <v>436</v>
      </c>
      <c r="D97" s="6" t="s">
        <v>437</v>
      </c>
      <c r="E97" s="6" t="s">
        <v>438</v>
      </c>
      <c r="F97" s="6" t="s">
        <v>67</v>
      </c>
      <c r="G97" s="6" t="s">
        <v>51</v>
      </c>
      <c r="H97" s="6" t="s">
        <v>72</v>
      </c>
      <c r="I97" s="6" t="s">
        <v>53</v>
      </c>
      <c r="J97" s="6" t="s">
        <v>72</v>
      </c>
      <c r="K97" s="6" t="s">
        <v>52</v>
      </c>
      <c r="L97" s="6" t="s">
        <v>72</v>
      </c>
      <c r="M97" s="6" t="s">
        <v>54</v>
      </c>
      <c r="N97" s="6" t="s">
        <v>73</v>
      </c>
    </row>
    <row r="98" customFormat="false" ht="43.25" hidden="false" customHeight="false" outlineLevel="0" collapsed="false">
      <c r="A98" s="6" t="s">
        <v>439</v>
      </c>
      <c r="B98" s="6" t="s">
        <v>21</v>
      </c>
      <c r="C98" s="6" t="s">
        <v>440</v>
      </c>
      <c r="D98" s="6" t="s">
        <v>441</v>
      </c>
      <c r="E98" s="6" t="s">
        <v>442</v>
      </c>
      <c r="F98" s="6" t="s">
        <v>50</v>
      </c>
      <c r="G98" s="6" t="s">
        <v>53</v>
      </c>
      <c r="H98" s="6" t="s">
        <v>60</v>
      </c>
      <c r="I98" s="6" t="s">
        <v>52</v>
      </c>
      <c r="J98" s="6" t="s">
        <v>60</v>
      </c>
      <c r="K98" s="6" t="s">
        <v>61</v>
      </c>
      <c r="L98" s="6" t="s">
        <v>60</v>
      </c>
      <c r="M98" s="6" t="s">
        <v>54</v>
      </c>
      <c r="N98" s="6" t="s">
        <v>62</v>
      </c>
    </row>
    <row r="99" customFormat="false" ht="43.25" hidden="false" customHeight="false" outlineLevel="0" collapsed="false">
      <c r="A99" s="6" t="s">
        <v>443</v>
      </c>
      <c r="B99" s="6" t="s">
        <v>21</v>
      </c>
      <c r="C99" s="6" t="s">
        <v>444</v>
      </c>
      <c r="D99" s="6" t="s">
        <v>445</v>
      </c>
      <c r="E99" s="6" t="s">
        <v>446</v>
      </c>
      <c r="F99" s="6" t="s">
        <v>67</v>
      </c>
      <c r="G99" s="6" t="s">
        <v>51</v>
      </c>
      <c r="H99" s="6" t="s">
        <v>72</v>
      </c>
      <c r="I99" s="6" t="s">
        <v>61</v>
      </c>
      <c r="J99" s="6" t="s">
        <v>72</v>
      </c>
      <c r="K99" s="6" t="s">
        <v>53</v>
      </c>
      <c r="L99" s="6" t="s">
        <v>72</v>
      </c>
      <c r="M99" s="6" t="s">
        <v>54</v>
      </c>
      <c r="N99" s="6" t="s">
        <v>73</v>
      </c>
    </row>
    <row r="100" customFormat="false" ht="22.35" hidden="false" customHeight="false" outlineLevel="0" collapsed="false">
      <c r="A100" s="6" t="s">
        <v>447</v>
      </c>
      <c r="B100" s="6" t="s">
        <v>21</v>
      </c>
      <c r="C100" s="6" t="s">
        <v>448</v>
      </c>
      <c r="D100" s="6" t="s">
        <v>449</v>
      </c>
      <c r="E100" s="6" t="s">
        <v>450</v>
      </c>
      <c r="F100" s="6" t="s">
        <v>72</v>
      </c>
      <c r="G100" s="6" t="s">
        <v>51</v>
      </c>
      <c r="H100" s="6" t="s">
        <v>72</v>
      </c>
      <c r="I100" s="6" t="s">
        <v>52</v>
      </c>
      <c r="J100" s="6" t="s">
        <v>72</v>
      </c>
      <c r="K100" s="6" t="s">
        <v>61</v>
      </c>
      <c r="L100" s="6" t="s">
        <v>72</v>
      </c>
      <c r="M100" s="6" t="s">
        <v>54</v>
      </c>
      <c r="N100" s="6" t="s">
        <v>73</v>
      </c>
    </row>
    <row r="101" customFormat="false" ht="22.35" hidden="false" customHeight="false" outlineLevel="0" collapsed="false">
      <c r="A101" s="6" t="s">
        <v>451</v>
      </c>
      <c r="B101" s="6" t="s">
        <v>21</v>
      </c>
      <c r="C101" s="6" t="s">
        <v>452</v>
      </c>
      <c r="D101" s="6" t="s">
        <v>453</v>
      </c>
      <c r="E101" s="6" t="s">
        <v>454</v>
      </c>
      <c r="F101" s="6" t="s">
        <v>50</v>
      </c>
      <c r="G101" s="6" t="s">
        <v>51</v>
      </c>
      <c r="H101" s="6" t="s">
        <v>50</v>
      </c>
      <c r="I101" s="6" t="s">
        <v>53</v>
      </c>
      <c r="J101" s="6" t="s">
        <v>50</v>
      </c>
      <c r="K101" s="6" t="s">
        <v>52</v>
      </c>
      <c r="L101" s="6" t="s">
        <v>50</v>
      </c>
      <c r="M101" s="6" t="s">
        <v>54</v>
      </c>
      <c r="N101" s="6" t="s">
        <v>55</v>
      </c>
    </row>
    <row r="102" customFormat="false" ht="43.25" hidden="false" customHeight="false" outlineLevel="0" collapsed="false">
      <c r="A102" s="6" t="s">
        <v>455</v>
      </c>
      <c r="B102" s="6" t="s">
        <v>21</v>
      </c>
      <c r="C102" s="6" t="s">
        <v>456</v>
      </c>
      <c r="D102" s="6" t="s">
        <v>457</v>
      </c>
      <c r="E102" s="6" t="s">
        <v>458</v>
      </c>
      <c r="F102" s="6" t="s">
        <v>67</v>
      </c>
      <c r="G102" s="6" t="s">
        <v>51</v>
      </c>
      <c r="H102" s="6" t="s">
        <v>67</v>
      </c>
      <c r="I102" s="6" t="s">
        <v>52</v>
      </c>
      <c r="J102" s="6" t="s">
        <v>60</v>
      </c>
      <c r="K102" s="6" t="s">
        <v>53</v>
      </c>
      <c r="L102" s="6" t="s">
        <v>60</v>
      </c>
      <c r="M102" s="6" t="s">
        <v>54</v>
      </c>
      <c r="N102" s="6" t="s">
        <v>62</v>
      </c>
    </row>
    <row r="103" customFormat="false" ht="53.7" hidden="false" customHeight="false" outlineLevel="0" collapsed="false">
      <c r="A103" s="6" t="s">
        <v>459</v>
      </c>
      <c r="B103" s="6" t="s">
        <v>21</v>
      </c>
      <c r="C103" s="6" t="s">
        <v>460</v>
      </c>
      <c r="D103" s="6" t="s">
        <v>461</v>
      </c>
      <c r="E103" s="6" t="s">
        <v>462</v>
      </c>
      <c r="F103" s="6" t="s">
        <v>72</v>
      </c>
      <c r="G103" s="6" t="s">
        <v>51</v>
      </c>
      <c r="H103" s="6" t="s">
        <v>72</v>
      </c>
      <c r="I103" s="6" t="s">
        <v>61</v>
      </c>
      <c r="J103" s="6" t="s">
        <v>72</v>
      </c>
      <c r="K103" s="6" t="s">
        <v>52</v>
      </c>
      <c r="L103" s="6" t="s">
        <v>72</v>
      </c>
      <c r="M103" s="6" t="s">
        <v>54</v>
      </c>
      <c r="N103" s="6" t="s">
        <v>73</v>
      </c>
    </row>
    <row r="104" customFormat="false" ht="43.25" hidden="false" customHeight="false" outlineLevel="0" collapsed="false">
      <c r="A104" s="6" t="s">
        <v>463</v>
      </c>
      <c r="B104" s="6" t="s">
        <v>21</v>
      </c>
      <c r="C104" s="6" t="s">
        <v>464</v>
      </c>
      <c r="D104" s="6" t="s">
        <v>465</v>
      </c>
      <c r="E104" s="6" t="s">
        <v>466</v>
      </c>
      <c r="F104" s="6" t="s">
        <v>50</v>
      </c>
      <c r="G104" s="6" t="s">
        <v>51</v>
      </c>
      <c r="H104" s="6" t="s">
        <v>60</v>
      </c>
      <c r="I104" s="6" t="s">
        <v>52</v>
      </c>
      <c r="J104" s="6" t="s">
        <v>50</v>
      </c>
      <c r="K104" s="6" t="s">
        <v>61</v>
      </c>
      <c r="L104" s="6" t="s">
        <v>50</v>
      </c>
      <c r="M104" s="6" t="s">
        <v>54</v>
      </c>
      <c r="N104" s="6" t="s">
        <v>55</v>
      </c>
    </row>
    <row r="105" customFormat="false" ht="43.25" hidden="false" customHeight="false" outlineLevel="0" collapsed="false">
      <c r="A105" s="6" t="s">
        <v>467</v>
      </c>
      <c r="B105" s="6" t="s">
        <v>22</v>
      </c>
      <c r="C105" s="6" t="s">
        <v>468</v>
      </c>
      <c r="D105" s="6" t="s">
        <v>469</v>
      </c>
      <c r="E105" s="6" t="s">
        <v>470</v>
      </c>
      <c r="F105" s="6" t="s">
        <v>50</v>
      </c>
      <c r="G105" s="6" t="s">
        <v>51</v>
      </c>
      <c r="H105" s="6" t="s">
        <v>50</v>
      </c>
      <c r="I105" s="6" t="s">
        <v>53</v>
      </c>
      <c r="J105" s="6" t="s">
        <v>50</v>
      </c>
      <c r="K105" s="6" t="s">
        <v>52</v>
      </c>
      <c r="L105" s="6" t="s">
        <v>50</v>
      </c>
      <c r="M105" s="6" t="s">
        <v>54</v>
      </c>
      <c r="N105" s="6" t="s">
        <v>55</v>
      </c>
    </row>
    <row r="106" customFormat="false" ht="43.25" hidden="false" customHeight="false" outlineLevel="0" collapsed="false">
      <c r="A106" s="6" t="s">
        <v>471</v>
      </c>
      <c r="B106" s="6" t="s">
        <v>22</v>
      </c>
      <c r="C106" s="6" t="s">
        <v>182</v>
      </c>
      <c r="D106" s="6" t="s">
        <v>472</v>
      </c>
      <c r="E106" s="6" t="s">
        <v>473</v>
      </c>
      <c r="F106" s="6" t="s">
        <v>67</v>
      </c>
      <c r="G106" s="6" t="s">
        <v>51</v>
      </c>
      <c r="H106" s="6" t="s">
        <v>67</v>
      </c>
      <c r="I106" s="6" t="s">
        <v>52</v>
      </c>
      <c r="J106" s="6" t="s">
        <v>67</v>
      </c>
      <c r="K106" s="6" t="s">
        <v>53</v>
      </c>
      <c r="L106" s="6" t="s">
        <v>67</v>
      </c>
      <c r="M106" s="6" t="s">
        <v>54</v>
      </c>
      <c r="N106" s="6" t="s">
        <v>128</v>
      </c>
    </row>
    <row r="107" customFormat="false" ht="32.8" hidden="false" customHeight="false" outlineLevel="0" collapsed="false">
      <c r="A107" s="6" t="s">
        <v>474</v>
      </c>
      <c r="B107" s="6" t="s">
        <v>22</v>
      </c>
      <c r="C107" s="6" t="s">
        <v>468</v>
      </c>
      <c r="D107" s="6" t="s">
        <v>475</v>
      </c>
      <c r="E107" s="6" t="s">
        <v>476</v>
      </c>
      <c r="F107" s="6" t="s">
        <v>60</v>
      </c>
      <c r="G107" s="6" t="s">
        <v>51</v>
      </c>
      <c r="H107" s="6" t="s">
        <v>60</v>
      </c>
      <c r="I107" s="6" t="s">
        <v>61</v>
      </c>
      <c r="J107" s="6" t="s">
        <v>60</v>
      </c>
      <c r="K107" s="6" t="s">
        <v>53</v>
      </c>
      <c r="L107" s="6" t="s">
        <v>60</v>
      </c>
      <c r="M107" s="6" t="s">
        <v>54</v>
      </c>
      <c r="N107" s="6" t="s">
        <v>62</v>
      </c>
    </row>
    <row r="108" customFormat="false" ht="32.8" hidden="false" customHeight="false" outlineLevel="0" collapsed="false">
      <c r="A108" s="6" t="s">
        <v>477</v>
      </c>
      <c r="B108" s="6" t="s">
        <v>21</v>
      </c>
      <c r="C108" s="6" t="s">
        <v>388</v>
      </c>
      <c r="D108" s="6" t="s">
        <v>478</v>
      </c>
      <c r="E108" s="6" t="s">
        <v>479</v>
      </c>
      <c r="F108" s="6" t="s">
        <v>50</v>
      </c>
      <c r="G108" s="6" t="s">
        <v>51</v>
      </c>
      <c r="H108" s="6" t="s">
        <v>50</v>
      </c>
      <c r="I108" s="6" t="s">
        <v>52</v>
      </c>
      <c r="J108" s="6" t="s">
        <v>67</v>
      </c>
      <c r="K108" s="6" t="s">
        <v>61</v>
      </c>
      <c r="L108" s="6" t="s">
        <v>67</v>
      </c>
      <c r="M108" s="6" t="s">
        <v>54</v>
      </c>
      <c r="N108" s="6" t="s">
        <v>128</v>
      </c>
    </row>
    <row r="109" customFormat="false" ht="32.8" hidden="false" customHeight="false" outlineLevel="0" collapsed="false">
      <c r="A109" s="6" t="s">
        <v>480</v>
      </c>
      <c r="B109" s="6" t="s">
        <v>22</v>
      </c>
      <c r="C109" s="6" t="s">
        <v>481</v>
      </c>
      <c r="D109" s="6" t="s">
        <v>482</v>
      </c>
      <c r="E109" s="6" t="s">
        <v>483</v>
      </c>
      <c r="F109" s="6" t="s">
        <v>60</v>
      </c>
      <c r="G109" s="6" t="s">
        <v>51</v>
      </c>
      <c r="H109" s="6" t="s">
        <v>60</v>
      </c>
      <c r="I109" s="6" t="s">
        <v>53</v>
      </c>
      <c r="J109" s="6" t="s">
        <v>60</v>
      </c>
      <c r="K109" s="6" t="s">
        <v>52</v>
      </c>
      <c r="L109" s="6" t="s">
        <v>60</v>
      </c>
      <c r="M109" s="6" t="s">
        <v>54</v>
      </c>
      <c r="N109" s="6" t="s">
        <v>62</v>
      </c>
    </row>
    <row r="110" customFormat="false" ht="43.25" hidden="false" customHeight="false" outlineLevel="0" collapsed="false">
      <c r="A110" s="6" t="s">
        <v>484</v>
      </c>
      <c r="B110" s="6" t="s">
        <v>22</v>
      </c>
      <c r="C110" s="6" t="s">
        <v>485</v>
      </c>
      <c r="D110" s="6" t="s">
        <v>486</v>
      </c>
      <c r="E110" s="6" t="s">
        <v>487</v>
      </c>
      <c r="F110" s="6" t="s">
        <v>67</v>
      </c>
      <c r="G110" s="6" t="s">
        <v>51</v>
      </c>
      <c r="H110" s="6" t="s">
        <v>85</v>
      </c>
      <c r="I110" s="6" t="s">
        <v>61</v>
      </c>
      <c r="J110" s="6" t="s">
        <v>85</v>
      </c>
      <c r="K110" s="6" t="s">
        <v>53</v>
      </c>
      <c r="L110" s="6" t="s">
        <v>85</v>
      </c>
      <c r="M110" s="6" t="s">
        <v>54</v>
      </c>
      <c r="N110" s="6" t="s">
        <v>488</v>
      </c>
    </row>
    <row r="111" customFormat="false" ht="32.8" hidden="false" customHeight="false" outlineLevel="0" collapsed="false">
      <c r="A111" s="6" t="s">
        <v>489</v>
      </c>
      <c r="B111" s="6" t="s">
        <v>21</v>
      </c>
      <c r="C111" s="6" t="s">
        <v>490</v>
      </c>
      <c r="D111" s="6" t="s">
        <v>491</v>
      </c>
      <c r="E111" s="6" t="s">
        <v>492</v>
      </c>
      <c r="F111" s="6" t="s">
        <v>67</v>
      </c>
      <c r="G111" s="6" t="s">
        <v>51</v>
      </c>
      <c r="H111" s="6" t="s">
        <v>67</v>
      </c>
      <c r="I111" s="6" t="s">
        <v>52</v>
      </c>
      <c r="J111" s="6" t="s">
        <v>85</v>
      </c>
      <c r="K111" s="6" t="s">
        <v>61</v>
      </c>
      <c r="L111" s="6" t="s">
        <v>85</v>
      </c>
      <c r="M111" s="6" t="s">
        <v>54</v>
      </c>
      <c r="N111" s="6" t="s">
        <v>493</v>
      </c>
    </row>
    <row r="112" customFormat="false" ht="43.25" hidden="false" customHeight="false" outlineLevel="0" collapsed="false">
      <c r="A112" s="6" t="s">
        <v>494</v>
      </c>
      <c r="B112" s="6" t="s">
        <v>22</v>
      </c>
      <c r="C112" s="6" t="s">
        <v>182</v>
      </c>
      <c r="D112" s="6" t="s">
        <v>495</v>
      </c>
      <c r="E112" s="6" t="s">
        <v>496</v>
      </c>
      <c r="F112" s="6" t="s">
        <v>67</v>
      </c>
      <c r="G112" s="6" t="s">
        <v>51</v>
      </c>
      <c r="H112" s="6" t="s">
        <v>60</v>
      </c>
      <c r="I112" s="6" t="s">
        <v>53</v>
      </c>
      <c r="J112" s="6" t="s">
        <v>60</v>
      </c>
      <c r="K112" s="6" t="s">
        <v>52</v>
      </c>
      <c r="L112" s="6" t="s">
        <v>60</v>
      </c>
      <c r="M112" s="6" t="s">
        <v>54</v>
      </c>
      <c r="N112" s="6" t="s">
        <v>62</v>
      </c>
    </row>
    <row r="113" customFormat="false" ht="64.15" hidden="false" customHeight="false" outlineLevel="0" collapsed="false">
      <c r="A113" s="6" t="s">
        <v>497</v>
      </c>
      <c r="B113" s="6" t="s">
        <v>21</v>
      </c>
      <c r="C113" s="6" t="s">
        <v>498</v>
      </c>
      <c r="D113" s="6" t="s">
        <v>499</v>
      </c>
      <c r="E113" s="6" t="s">
        <v>500</v>
      </c>
      <c r="F113" s="6" t="s">
        <v>67</v>
      </c>
      <c r="G113" s="6" t="s">
        <v>51</v>
      </c>
      <c r="H113" s="6" t="s">
        <v>67</v>
      </c>
      <c r="I113" s="6" t="s">
        <v>52</v>
      </c>
      <c r="J113" s="6" t="s">
        <v>67</v>
      </c>
      <c r="K113" s="6" t="s">
        <v>61</v>
      </c>
      <c r="L113" s="6" t="s">
        <v>67</v>
      </c>
      <c r="M113" s="6" t="s">
        <v>54</v>
      </c>
      <c r="N113" s="6" t="s">
        <v>128</v>
      </c>
    </row>
    <row r="114" customFormat="false" ht="43.25" hidden="false" customHeight="false" outlineLevel="0" collapsed="false">
      <c r="A114" s="6" t="s">
        <v>501</v>
      </c>
      <c r="B114" s="6" t="s">
        <v>22</v>
      </c>
      <c r="C114" s="6" t="s">
        <v>502</v>
      </c>
      <c r="D114" s="6" t="s">
        <v>503</v>
      </c>
      <c r="E114" s="6" t="s">
        <v>504</v>
      </c>
      <c r="F114" s="6" t="s">
        <v>50</v>
      </c>
      <c r="G114" s="6" t="s">
        <v>51</v>
      </c>
      <c r="H114" s="6" t="s">
        <v>85</v>
      </c>
      <c r="I114" s="6" t="s">
        <v>52</v>
      </c>
      <c r="J114" s="6" t="s">
        <v>85</v>
      </c>
      <c r="K114" s="6" t="s">
        <v>53</v>
      </c>
      <c r="L114" s="6" t="s">
        <v>85</v>
      </c>
      <c r="M114" s="6" t="s">
        <v>54</v>
      </c>
      <c r="N114" s="6" t="s">
        <v>505</v>
      </c>
    </row>
    <row r="115" customFormat="false" ht="32.8" hidden="false" customHeight="false" outlineLevel="0" collapsed="false">
      <c r="A115" s="6" t="s">
        <v>506</v>
      </c>
      <c r="B115" s="6" t="s">
        <v>21</v>
      </c>
      <c r="C115" s="6" t="s">
        <v>264</v>
      </c>
      <c r="D115" s="6" t="s">
        <v>507</v>
      </c>
      <c r="E115" s="6" t="s">
        <v>508</v>
      </c>
      <c r="F115" s="6" t="s">
        <v>60</v>
      </c>
      <c r="G115" s="6" t="s">
        <v>51</v>
      </c>
      <c r="H115" s="6" t="s">
        <v>60</v>
      </c>
      <c r="I115" s="6" t="s">
        <v>52</v>
      </c>
      <c r="J115" s="6" t="s">
        <v>60</v>
      </c>
      <c r="K115" s="6" t="s">
        <v>61</v>
      </c>
      <c r="L115" s="6" t="s">
        <v>60</v>
      </c>
      <c r="M115" s="6" t="s">
        <v>54</v>
      </c>
      <c r="N115" s="6" t="s">
        <v>62</v>
      </c>
    </row>
    <row r="116" customFormat="false" ht="22.35" hidden="false" customHeight="false" outlineLevel="0" collapsed="false">
      <c r="A116" s="6" t="s">
        <v>509</v>
      </c>
      <c r="B116" s="6" t="s">
        <v>23</v>
      </c>
      <c r="C116" s="6" t="s">
        <v>510</v>
      </c>
      <c r="D116" s="6" t="s">
        <v>511</v>
      </c>
      <c r="E116" s="6" t="s">
        <v>512</v>
      </c>
      <c r="F116" s="6" t="s">
        <v>85</v>
      </c>
      <c r="G116" s="6" t="s">
        <v>51</v>
      </c>
      <c r="H116" s="6" t="s">
        <v>85</v>
      </c>
      <c r="I116" s="6" t="s">
        <v>53</v>
      </c>
      <c r="J116" s="6" t="s">
        <v>85</v>
      </c>
      <c r="K116" s="6" t="s">
        <v>52</v>
      </c>
      <c r="L116" s="6" t="s">
        <v>85</v>
      </c>
      <c r="M116" s="6" t="s">
        <v>54</v>
      </c>
      <c r="N116" s="6" t="s">
        <v>513</v>
      </c>
    </row>
    <row r="117" customFormat="false" ht="43.25" hidden="false" customHeight="false" outlineLevel="0" collapsed="false">
      <c r="A117" s="6" t="s">
        <v>514</v>
      </c>
      <c r="B117" s="6" t="s">
        <v>23</v>
      </c>
      <c r="C117" s="6" t="s">
        <v>515</v>
      </c>
      <c r="D117" s="6" t="s">
        <v>516</v>
      </c>
      <c r="E117" s="6" t="s">
        <v>517</v>
      </c>
      <c r="F117" s="6" t="s">
        <v>85</v>
      </c>
      <c r="G117" s="6" t="s">
        <v>51</v>
      </c>
      <c r="H117" s="6" t="s">
        <v>85</v>
      </c>
      <c r="I117" s="6" t="s">
        <v>52</v>
      </c>
      <c r="J117" s="6" t="s">
        <v>85</v>
      </c>
      <c r="K117" s="6" t="s">
        <v>53</v>
      </c>
      <c r="L117" s="6" t="s">
        <v>85</v>
      </c>
      <c r="M117" s="6" t="s">
        <v>54</v>
      </c>
      <c r="N117" s="6" t="s">
        <v>518</v>
      </c>
    </row>
    <row r="118" customFormat="false" ht="43.25" hidden="false" customHeight="false" outlineLevel="0" collapsed="false">
      <c r="A118" s="6" t="s">
        <v>519</v>
      </c>
      <c r="B118" s="6" t="s">
        <v>21</v>
      </c>
      <c r="C118" s="6" t="s">
        <v>520</v>
      </c>
      <c r="D118" s="6" t="s">
        <v>521</v>
      </c>
      <c r="E118" s="6" t="s">
        <v>522</v>
      </c>
      <c r="F118" s="6" t="s">
        <v>67</v>
      </c>
      <c r="G118" s="6" t="s">
        <v>53</v>
      </c>
      <c r="H118" s="6" t="s">
        <v>72</v>
      </c>
      <c r="I118" s="6" t="s">
        <v>52</v>
      </c>
      <c r="J118" s="6" t="s">
        <v>72</v>
      </c>
      <c r="K118" s="6" t="s">
        <v>51</v>
      </c>
      <c r="L118" s="6" t="s">
        <v>72</v>
      </c>
      <c r="M118" s="6" t="s">
        <v>54</v>
      </c>
      <c r="N118" s="6" t="s">
        <v>73</v>
      </c>
    </row>
    <row r="119" customFormat="false" ht="64.15" hidden="false" customHeight="false" outlineLevel="0" collapsed="false">
      <c r="A119" s="6" t="s">
        <v>523</v>
      </c>
      <c r="B119" s="6" t="s">
        <v>21</v>
      </c>
      <c r="C119" s="6" t="s">
        <v>524</v>
      </c>
      <c r="D119" s="6" t="s">
        <v>525</v>
      </c>
      <c r="E119" s="6" t="s">
        <v>526</v>
      </c>
      <c r="F119" s="6" t="s">
        <v>67</v>
      </c>
      <c r="G119" s="6" t="s">
        <v>53</v>
      </c>
      <c r="H119" s="6" t="s">
        <v>72</v>
      </c>
      <c r="I119" s="6" t="s">
        <v>61</v>
      </c>
      <c r="J119" s="6" t="s">
        <v>72</v>
      </c>
      <c r="K119" s="6" t="s">
        <v>51</v>
      </c>
      <c r="L119" s="6" t="s">
        <v>72</v>
      </c>
      <c r="M119" s="6" t="s">
        <v>54</v>
      </c>
      <c r="N119" s="6" t="s">
        <v>73</v>
      </c>
    </row>
    <row r="120" customFormat="false" ht="22.35" hidden="false" customHeight="false" outlineLevel="0" collapsed="false">
      <c r="A120" s="6" t="s">
        <v>527</v>
      </c>
      <c r="B120" s="6" t="s">
        <v>21</v>
      </c>
      <c r="C120" s="6" t="s">
        <v>528</v>
      </c>
      <c r="D120" s="6" t="s">
        <v>529</v>
      </c>
      <c r="E120" s="6" t="s">
        <v>530</v>
      </c>
      <c r="F120" s="6" t="s">
        <v>67</v>
      </c>
      <c r="G120" s="6" t="s">
        <v>53</v>
      </c>
      <c r="H120" s="6" t="s">
        <v>67</v>
      </c>
      <c r="I120" s="6" t="s">
        <v>52</v>
      </c>
      <c r="J120" s="6" t="s">
        <v>72</v>
      </c>
      <c r="K120" s="6" t="s">
        <v>51</v>
      </c>
      <c r="L120" s="6" t="s">
        <v>72</v>
      </c>
      <c r="M120" s="6" t="s">
        <v>54</v>
      </c>
      <c r="N120" s="6" t="s">
        <v>73</v>
      </c>
    </row>
    <row r="121" customFormat="false" ht="32.8" hidden="false" customHeight="false" outlineLevel="0" collapsed="false">
      <c r="A121" s="6" t="s">
        <v>531</v>
      </c>
      <c r="B121" s="6" t="s">
        <v>21</v>
      </c>
      <c r="C121" s="6" t="s">
        <v>532</v>
      </c>
      <c r="D121" s="6" t="s">
        <v>533</v>
      </c>
      <c r="E121" s="6" t="s">
        <v>534</v>
      </c>
      <c r="F121" s="6" t="s">
        <v>67</v>
      </c>
      <c r="G121" s="6" t="s">
        <v>53</v>
      </c>
      <c r="H121" s="6" t="s">
        <v>72</v>
      </c>
      <c r="I121" s="6" t="s">
        <v>52</v>
      </c>
      <c r="J121" s="6" t="s">
        <v>72</v>
      </c>
      <c r="K121" s="6" t="s">
        <v>51</v>
      </c>
      <c r="L121" s="6" t="s">
        <v>72</v>
      </c>
      <c r="M121" s="6" t="s">
        <v>54</v>
      </c>
      <c r="N121" s="6" t="s">
        <v>73</v>
      </c>
    </row>
    <row r="122" customFormat="false" ht="32.8" hidden="false" customHeight="false" outlineLevel="0" collapsed="false">
      <c r="A122" s="6" t="s">
        <v>535</v>
      </c>
      <c r="B122" s="6" t="s">
        <v>21</v>
      </c>
      <c r="C122" s="6" t="s">
        <v>536</v>
      </c>
      <c r="D122" s="6" t="s">
        <v>537</v>
      </c>
      <c r="E122" s="6" t="s">
        <v>538</v>
      </c>
      <c r="F122" s="6" t="s">
        <v>67</v>
      </c>
      <c r="G122" s="6" t="s">
        <v>53</v>
      </c>
      <c r="H122" s="6" t="s">
        <v>67</v>
      </c>
      <c r="I122" s="6" t="s">
        <v>61</v>
      </c>
      <c r="J122" s="6" t="s">
        <v>72</v>
      </c>
      <c r="K122" s="6" t="s">
        <v>51</v>
      </c>
      <c r="L122" s="6" t="s">
        <v>72</v>
      </c>
      <c r="M122" s="6" t="s">
        <v>54</v>
      </c>
      <c r="N122" s="6" t="s">
        <v>73</v>
      </c>
    </row>
    <row r="123" customFormat="false" ht="43.25" hidden="false" customHeight="false" outlineLevel="0" collapsed="false">
      <c r="A123" s="6" t="s">
        <v>539</v>
      </c>
      <c r="B123" s="6" t="s">
        <v>21</v>
      </c>
      <c r="C123" s="6" t="s">
        <v>540</v>
      </c>
      <c r="D123" s="6" t="s">
        <v>541</v>
      </c>
      <c r="E123" s="6" t="s">
        <v>542</v>
      </c>
      <c r="F123" s="6" t="s">
        <v>67</v>
      </c>
      <c r="G123" s="6" t="s">
        <v>53</v>
      </c>
      <c r="H123" s="6" t="s">
        <v>67</v>
      </c>
      <c r="I123" s="6" t="s">
        <v>52</v>
      </c>
      <c r="J123" s="6" t="s">
        <v>72</v>
      </c>
      <c r="K123" s="6" t="s">
        <v>51</v>
      </c>
      <c r="L123" s="6" t="s">
        <v>72</v>
      </c>
      <c r="M123" s="6" t="s">
        <v>54</v>
      </c>
      <c r="N123" s="6" t="s">
        <v>73</v>
      </c>
    </row>
    <row r="124" customFormat="false" ht="32.8" hidden="false" customHeight="false" outlineLevel="0" collapsed="false">
      <c r="A124" s="6" t="s">
        <v>543</v>
      </c>
      <c r="B124" s="6" t="s">
        <v>21</v>
      </c>
      <c r="C124" s="6" t="s">
        <v>544</v>
      </c>
      <c r="D124" s="6" t="s">
        <v>545</v>
      </c>
      <c r="E124" s="6" t="s">
        <v>546</v>
      </c>
      <c r="F124" s="6" t="s">
        <v>67</v>
      </c>
      <c r="G124" s="6" t="s">
        <v>53</v>
      </c>
      <c r="H124" s="6" t="s">
        <v>72</v>
      </c>
      <c r="I124" s="6" t="s">
        <v>52</v>
      </c>
      <c r="J124" s="6" t="s">
        <v>72</v>
      </c>
      <c r="K124" s="6" t="s">
        <v>51</v>
      </c>
      <c r="L124" s="6" t="s">
        <v>72</v>
      </c>
      <c r="M124" s="6" t="s">
        <v>54</v>
      </c>
      <c r="N124" s="6" t="s">
        <v>73</v>
      </c>
    </row>
    <row r="125" customFormat="false" ht="53.7" hidden="false" customHeight="false" outlineLevel="0" collapsed="false">
      <c r="A125" s="6" t="s">
        <v>547</v>
      </c>
      <c r="B125" s="6" t="s">
        <v>21</v>
      </c>
      <c r="C125" s="6" t="s">
        <v>548</v>
      </c>
      <c r="D125" s="6" t="s">
        <v>549</v>
      </c>
      <c r="E125" s="6" t="s">
        <v>550</v>
      </c>
      <c r="F125" s="6" t="s">
        <v>67</v>
      </c>
      <c r="G125" s="6" t="s">
        <v>53</v>
      </c>
      <c r="H125" s="6" t="s">
        <v>72</v>
      </c>
      <c r="I125" s="6" t="s">
        <v>52</v>
      </c>
      <c r="J125" s="6" t="s">
        <v>72</v>
      </c>
      <c r="K125" s="6" t="s">
        <v>51</v>
      </c>
      <c r="L125" s="6" t="s">
        <v>72</v>
      </c>
      <c r="M125" s="6" t="s">
        <v>54</v>
      </c>
      <c r="N125" s="6" t="s">
        <v>73</v>
      </c>
    </row>
    <row r="126" customFormat="false" ht="32.8" hidden="false" customHeight="false" outlineLevel="0" collapsed="false">
      <c r="A126" s="6" t="s">
        <v>551</v>
      </c>
      <c r="B126" s="6" t="s">
        <v>21</v>
      </c>
      <c r="C126" s="6" t="s">
        <v>552</v>
      </c>
      <c r="D126" s="6" t="s">
        <v>553</v>
      </c>
      <c r="E126" s="6" t="s">
        <v>554</v>
      </c>
      <c r="F126" s="6" t="s">
        <v>67</v>
      </c>
      <c r="G126" s="6" t="s">
        <v>53</v>
      </c>
      <c r="H126" s="6" t="s">
        <v>72</v>
      </c>
      <c r="I126" s="6" t="s">
        <v>52</v>
      </c>
      <c r="J126" s="6" t="s">
        <v>72</v>
      </c>
      <c r="K126" s="6" t="s">
        <v>51</v>
      </c>
      <c r="L126" s="6" t="s">
        <v>72</v>
      </c>
      <c r="M126" s="6" t="s">
        <v>54</v>
      </c>
      <c r="N126" s="6" t="s">
        <v>73</v>
      </c>
    </row>
    <row r="127" customFormat="false" ht="43.25" hidden="false" customHeight="false" outlineLevel="0" collapsed="false">
      <c r="A127" s="6" t="s">
        <v>555</v>
      </c>
      <c r="B127" s="6" t="s">
        <v>21</v>
      </c>
      <c r="C127" s="6" t="s">
        <v>556</v>
      </c>
      <c r="D127" s="6" t="s">
        <v>557</v>
      </c>
      <c r="E127" s="6" t="s">
        <v>558</v>
      </c>
      <c r="F127" s="6" t="s">
        <v>67</v>
      </c>
      <c r="G127" s="6" t="s">
        <v>53</v>
      </c>
      <c r="H127" s="6" t="s">
        <v>67</v>
      </c>
      <c r="I127" s="6" t="s">
        <v>61</v>
      </c>
      <c r="J127" s="6" t="s">
        <v>67</v>
      </c>
      <c r="K127" s="6" t="s">
        <v>51</v>
      </c>
      <c r="L127" s="6" t="s">
        <v>67</v>
      </c>
      <c r="M127" s="6" t="s">
        <v>54</v>
      </c>
      <c r="N127" s="6" t="s">
        <v>128</v>
      </c>
    </row>
    <row r="128" customFormat="false" ht="53.7" hidden="false" customHeight="false" outlineLevel="0" collapsed="false">
      <c r="A128" s="6" t="s">
        <v>559</v>
      </c>
      <c r="B128" s="6" t="s">
        <v>21</v>
      </c>
      <c r="C128" s="6" t="s">
        <v>560</v>
      </c>
      <c r="D128" s="6" t="s">
        <v>561</v>
      </c>
      <c r="E128" s="6" t="s">
        <v>562</v>
      </c>
      <c r="F128" s="6" t="s">
        <v>67</v>
      </c>
      <c r="G128" s="6" t="s">
        <v>53</v>
      </c>
      <c r="H128" s="6" t="s">
        <v>67</v>
      </c>
      <c r="I128" s="6" t="s">
        <v>61</v>
      </c>
      <c r="J128" s="6" t="s">
        <v>67</v>
      </c>
      <c r="K128" s="6" t="s">
        <v>51</v>
      </c>
      <c r="L128" s="6" t="s">
        <v>67</v>
      </c>
      <c r="M128" s="6" t="s">
        <v>54</v>
      </c>
      <c r="N128" s="6" t="s">
        <v>128</v>
      </c>
    </row>
    <row r="129" customFormat="false" ht="43.25" hidden="false" customHeight="false" outlineLevel="0" collapsed="false">
      <c r="A129" s="6" t="s">
        <v>563</v>
      </c>
      <c r="B129" s="6" t="s">
        <v>21</v>
      </c>
      <c r="C129" s="6" t="s">
        <v>564</v>
      </c>
      <c r="D129" s="6" t="s">
        <v>565</v>
      </c>
      <c r="E129" s="6" t="s">
        <v>566</v>
      </c>
      <c r="F129" s="6" t="s">
        <v>67</v>
      </c>
      <c r="G129" s="6" t="s">
        <v>53</v>
      </c>
      <c r="H129" s="6" t="s">
        <v>60</v>
      </c>
      <c r="I129" s="6" t="s">
        <v>52</v>
      </c>
      <c r="J129" s="6" t="s">
        <v>67</v>
      </c>
      <c r="K129" s="6" t="s">
        <v>51</v>
      </c>
      <c r="L129" s="6" t="s">
        <v>67</v>
      </c>
      <c r="M129" s="6" t="s">
        <v>54</v>
      </c>
      <c r="N129" s="6" t="s">
        <v>128</v>
      </c>
    </row>
    <row r="130" customFormat="false" ht="53.7" hidden="false" customHeight="false" outlineLevel="0" collapsed="false">
      <c r="A130" s="6" t="s">
        <v>567</v>
      </c>
      <c r="B130" s="6" t="s">
        <v>21</v>
      </c>
      <c r="C130" s="6" t="s">
        <v>568</v>
      </c>
      <c r="D130" s="6" t="s">
        <v>569</v>
      </c>
      <c r="E130" s="6" t="s">
        <v>570</v>
      </c>
      <c r="F130" s="6" t="s">
        <v>67</v>
      </c>
      <c r="G130" s="6" t="s">
        <v>53</v>
      </c>
      <c r="H130" s="6" t="s">
        <v>72</v>
      </c>
      <c r="I130" s="6" t="s">
        <v>61</v>
      </c>
      <c r="J130" s="6" t="s">
        <v>67</v>
      </c>
      <c r="K130" s="6" t="s">
        <v>51</v>
      </c>
      <c r="L130" s="6" t="s">
        <v>67</v>
      </c>
      <c r="M130" s="6" t="s">
        <v>54</v>
      </c>
      <c r="N130" s="6" t="s">
        <v>128</v>
      </c>
    </row>
    <row r="131" customFormat="false" ht="43.25" hidden="false" customHeight="false" outlineLevel="0" collapsed="false">
      <c r="A131" s="6" t="s">
        <v>571</v>
      </c>
      <c r="B131" s="6" t="s">
        <v>21</v>
      </c>
      <c r="C131" s="6" t="s">
        <v>572</v>
      </c>
      <c r="D131" s="6" t="s">
        <v>573</v>
      </c>
      <c r="E131" s="6" t="s">
        <v>574</v>
      </c>
      <c r="F131" s="6" t="s">
        <v>67</v>
      </c>
      <c r="G131" s="6" t="s">
        <v>53</v>
      </c>
      <c r="H131" s="6" t="s">
        <v>60</v>
      </c>
      <c r="I131" s="6" t="s">
        <v>52</v>
      </c>
      <c r="J131" s="6" t="s">
        <v>72</v>
      </c>
      <c r="K131" s="6" t="s">
        <v>51</v>
      </c>
      <c r="L131" s="6" t="s">
        <v>72</v>
      </c>
      <c r="M131" s="6" t="s">
        <v>54</v>
      </c>
      <c r="N131" s="6" t="s">
        <v>73</v>
      </c>
    </row>
    <row r="132" customFormat="false" ht="53.7" hidden="false" customHeight="false" outlineLevel="0" collapsed="false">
      <c r="A132" s="6" t="s">
        <v>575</v>
      </c>
      <c r="B132" s="6" t="s">
        <v>21</v>
      </c>
      <c r="C132" s="6" t="s">
        <v>576</v>
      </c>
      <c r="D132" s="6" t="s">
        <v>577</v>
      </c>
      <c r="E132" s="6" t="s">
        <v>578</v>
      </c>
      <c r="F132" s="6" t="s">
        <v>67</v>
      </c>
      <c r="G132" s="6" t="s">
        <v>53</v>
      </c>
      <c r="H132" s="6" t="s">
        <v>72</v>
      </c>
      <c r="I132" s="6" t="s">
        <v>52</v>
      </c>
      <c r="J132" s="6" t="s">
        <v>67</v>
      </c>
      <c r="K132" s="6" t="s">
        <v>51</v>
      </c>
      <c r="L132" s="6" t="s">
        <v>67</v>
      </c>
      <c r="M132" s="6" t="s">
        <v>54</v>
      </c>
      <c r="N132" s="6" t="s">
        <v>128</v>
      </c>
    </row>
    <row r="133" customFormat="false" ht="43.25" hidden="false" customHeight="false" outlineLevel="0" collapsed="false">
      <c r="A133" s="6" t="s">
        <v>579</v>
      </c>
      <c r="B133" s="6" t="s">
        <v>21</v>
      </c>
      <c r="C133" s="6" t="s">
        <v>580</v>
      </c>
      <c r="D133" s="6" t="s">
        <v>581</v>
      </c>
      <c r="E133" s="6" t="s">
        <v>582</v>
      </c>
      <c r="F133" s="6" t="s">
        <v>67</v>
      </c>
      <c r="G133" s="6" t="s">
        <v>53</v>
      </c>
      <c r="H133" s="6" t="s">
        <v>67</v>
      </c>
      <c r="I133" s="6" t="s">
        <v>61</v>
      </c>
      <c r="J133" s="6" t="s">
        <v>67</v>
      </c>
      <c r="K133" s="6" t="s">
        <v>51</v>
      </c>
      <c r="L133" s="6" t="s">
        <v>67</v>
      </c>
      <c r="M133" s="6" t="s">
        <v>54</v>
      </c>
      <c r="N133" s="6" t="s">
        <v>128</v>
      </c>
    </row>
    <row r="134" customFormat="false" ht="32.8" hidden="false" customHeight="false" outlineLevel="0" collapsed="false">
      <c r="A134" s="6" t="s">
        <v>583</v>
      </c>
      <c r="B134" s="6" t="s">
        <v>21</v>
      </c>
      <c r="C134" s="6" t="s">
        <v>584</v>
      </c>
      <c r="D134" s="6" t="s">
        <v>585</v>
      </c>
      <c r="E134" s="6" t="s">
        <v>586</v>
      </c>
      <c r="F134" s="6" t="s">
        <v>60</v>
      </c>
      <c r="G134" s="6" t="s">
        <v>53</v>
      </c>
      <c r="H134" s="6" t="s">
        <v>60</v>
      </c>
      <c r="I134" s="6" t="s">
        <v>52</v>
      </c>
      <c r="J134" s="6" t="s">
        <v>67</v>
      </c>
      <c r="K134" s="6" t="s">
        <v>51</v>
      </c>
      <c r="L134" s="6" t="s">
        <v>67</v>
      </c>
      <c r="M134" s="6" t="s">
        <v>54</v>
      </c>
      <c r="N134" s="6" t="s">
        <v>128</v>
      </c>
    </row>
    <row r="135" customFormat="false" ht="43.25" hidden="false" customHeight="false" outlineLevel="0" collapsed="false">
      <c r="A135" s="6" t="s">
        <v>587</v>
      </c>
      <c r="B135" s="6" t="s">
        <v>23</v>
      </c>
      <c r="C135" s="6" t="s">
        <v>588</v>
      </c>
      <c r="D135" s="6" t="s">
        <v>589</v>
      </c>
      <c r="E135" s="6" t="s">
        <v>590</v>
      </c>
      <c r="F135" s="6" t="s">
        <v>85</v>
      </c>
      <c r="G135" s="6" t="s">
        <v>51</v>
      </c>
      <c r="H135" s="6" t="s">
        <v>85</v>
      </c>
      <c r="I135" s="6" t="s">
        <v>61</v>
      </c>
      <c r="J135" s="6" t="s">
        <v>85</v>
      </c>
      <c r="K135" s="6" t="s">
        <v>52</v>
      </c>
      <c r="L135" s="6" t="s">
        <v>85</v>
      </c>
      <c r="M135" s="6" t="s">
        <v>54</v>
      </c>
      <c r="N135" s="6" t="s">
        <v>591</v>
      </c>
    </row>
    <row r="136" customFormat="false" ht="95.5" hidden="false" customHeight="false" outlineLevel="0" collapsed="false">
      <c r="A136" s="6" t="s">
        <v>592</v>
      </c>
      <c r="B136" s="6" t="s">
        <v>22</v>
      </c>
      <c r="C136" s="6" t="s">
        <v>593</v>
      </c>
      <c r="D136" s="6" t="s">
        <v>594</v>
      </c>
      <c r="E136" s="6" t="s">
        <v>595</v>
      </c>
      <c r="F136" s="6" t="s">
        <v>72</v>
      </c>
      <c r="G136" s="6" t="s">
        <v>52</v>
      </c>
      <c r="H136" s="6" t="s">
        <v>72</v>
      </c>
      <c r="I136" s="6" t="s">
        <v>61</v>
      </c>
      <c r="J136" s="6" t="s">
        <v>72</v>
      </c>
      <c r="K136" s="6" t="s">
        <v>51</v>
      </c>
      <c r="L136" s="6" t="s">
        <v>72</v>
      </c>
      <c r="M136" s="6" t="s">
        <v>54</v>
      </c>
      <c r="N136" s="6" t="s">
        <v>73</v>
      </c>
    </row>
    <row r="137" customFormat="false" ht="43.25" hidden="false" customHeight="false" outlineLevel="0" collapsed="false">
      <c r="A137" s="6" t="s">
        <v>596</v>
      </c>
      <c r="B137" s="6" t="s">
        <v>22</v>
      </c>
      <c r="C137" s="6" t="s">
        <v>597</v>
      </c>
      <c r="D137" s="6" t="s">
        <v>598</v>
      </c>
      <c r="E137" s="6" t="s">
        <v>599</v>
      </c>
      <c r="F137" s="6" t="s">
        <v>72</v>
      </c>
      <c r="G137" s="6" t="s">
        <v>52</v>
      </c>
      <c r="H137" s="6" t="s">
        <v>67</v>
      </c>
      <c r="I137" s="6" t="s">
        <v>61</v>
      </c>
      <c r="J137" s="6" t="s">
        <v>67</v>
      </c>
      <c r="K137" s="6" t="s">
        <v>51</v>
      </c>
      <c r="L137" s="6" t="s">
        <v>67</v>
      </c>
      <c r="M137" s="6" t="s">
        <v>54</v>
      </c>
      <c r="N137" s="6" t="s">
        <v>128</v>
      </c>
    </row>
    <row r="138" customFormat="false" ht="22.35" hidden="false" customHeight="false" outlineLevel="0" collapsed="false">
      <c r="A138" s="6" t="s">
        <v>600</v>
      </c>
      <c r="B138" s="6" t="s">
        <v>23</v>
      </c>
      <c r="C138" s="6" t="s">
        <v>601</v>
      </c>
      <c r="D138" s="6" t="s">
        <v>602</v>
      </c>
      <c r="E138" s="6" t="s">
        <v>603</v>
      </c>
      <c r="F138" s="6" t="s">
        <v>60</v>
      </c>
      <c r="G138" s="6" t="s">
        <v>52</v>
      </c>
      <c r="H138" s="6" t="s">
        <v>60</v>
      </c>
      <c r="I138" s="6" t="s">
        <v>53</v>
      </c>
      <c r="J138" s="6" t="s">
        <v>60</v>
      </c>
      <c r="K138" s="6" t="s">
        <v>51</v>
      </c>
      <c r="L138" s="6" t="s">
        <v>60</v>
      </c>
      <c r="M138" s="6" t="s">
        <v>54</v>
      </c>
      <c r="N138" s="6" t="s">
        <v>62</v>
      </c>
    </row>
    <row r="139" customFormat="false" ht="32.8" hidden="false" customHeight="false" outlineLevel="0" collapsed="false">
      <c r="A139" s="6" t="s">
        <v>604</v>
      </c>
      <c r="B139" s="6" t="s">
        <v>21</v>
      </c>
      <c r="C139" s="6" t="s">
        <v>605</v>
      </c>
      <c r="D139" s="6" t="s">
        <v>606</v>
      </c>
      <c r="E139" s="6" t="s">
        <v>607</v>
      </c>
      <c r="F139" s="6" t="s">
        <v>60</v>
      </c>
      <c r="G139" s="6" t="s">
        <v>51</v>
      </c>
      <c r="H139" s="6" t="s">
        <v>60</v>
      </c>
      <c r="I139" s="6" t="s">
        <v>52</v>
      </c>
      <c r="J139" s="6" t="s">
        <v>60</v>
      </c>
      <c r="K139" s="6" t="s">
        <v>61</v>
      </c>
      <c r="L139" s="6" t="s">
        <v>60</v>
      </c>
      <c r="M139" s="6" t="s">
        <v>54</v>
      </c>
      <c r="N139" s="6" t="s">
        <v>62</v>
      </c>
    </row>
    <row r="140" customFormat="false" ht="32.8" hidden="false" customHeight="false" outlineLevel="0" collapsed="false">
      <c r="A140" s="6" t="s">
        <v>608</v>
      </c>
      <c r="B140" s="6" t="s">
        <v>23</v>
      </c>
      <c r="C140" s="6" t="s">
        <v>609</v>
      </c>
      <c r="D140" s="6" t="s">
        <v>610</v>
      </c>
      <c r="E140" s="6" t="s">
        <v>611</v>
      </c>
      <c r="F140" s="6" t="s">
        <v>72</v>
      </c>
      <c r="G140" s="6" t="s">
        <v>52</v>
      </c>
      <c r="H140" s="6" t="s">
        <v>72</v>
      </c>
      <c r="I140" s="6" t="s">
        <v>61</v>
      </c>
      <c r="J140" s="6"/>
      <c r="K140" s="6" t="s">
        <v>53</v>
      </c>
      <c r="L140" s="6" t="s">
        <v>72</v>
      </c>
      <c r="M140" s="6" t="s">
        <v>612</v>
      </c>
      <c r="N140" s="6" t="s">
        <v>73</v>
      </c>
    </row>
    <row r="141" customFormat="false" ht="32.8" hidden="false" customHeight="false" outlineLevel="0" collapsed="false">
      <c r="A141" s="6" t="s">
        <v>613</v>
      </c>
      <c r="B141" s="6" t="s">
        <v>23</v>
      </c>
      <c r="C141" s="6" t="s">
        <v>614</v>
      </c>
      <c r="D141" s="6" t="s">
        <v>615</v>
      </c>
      <c r="E141" s="6" t="s">
        <v>616</v>
      </c>
      <c r="F141" s="6" t="s">
        <v>72</v>
      </c>
      <c r="G141" s="6" t="s">
        <v>52</v>
      </c>
      <c r="H141" s="6" t="s">
        <v>60</v>
      </c>
      <c r="I141" s="6" t="s">
        <v>61</v>
      </c>
      <c r="J141" s="6" t="s">
        <v>60</v>
      </c>
      <c r="K141" s="6" t="s">
        <v>51</v>
      </c>
      <c r="L141" s="6" t="s">
        <v>60</v>
      </c>
      <c r="M141" s="6" t="s">
        <v>54</v>
      </c>
      <c r="N141" s="6" t="s">
        <v>62</v>
      </c>
    </row>
    <row r="142" customFormat="false" ht="32.8" hidden="false" customHeight="false" outlineLevel="0" collapsed="false">
      <c r="A142" s="6" t="s">
        <v>617</v>
      </c>
      <c r="B142" s="6" t="s">
        <v>21</v>
      </c>
      <c r="C142" s="6" t="s">
        <v>618</v>
      </c>
      <c r="D142" s="6" t="s">
        <v>619</v>
      </c>
      <c r="E142" s="6" t="s">
        <v>620</v>
      </c>
      <c r="F142" s="6" t="s">
        <v>60</v>
      </c>
      <c r="G142" s="6" t="s">
        <v>52</v>
      </c>
      <c r="H142" s="6" t="s">
        <v>60</v>
      </c>
      <c r="I142" s="6" t="s">
        <v>61</v>
      </c>
      <c r="J142" s="6" t="s">
        <v>60</v>
      </c>
      <c r="K142" s="6" t="s">
        <v>53</v>
      </c>
      <c r="L142" s="6" t="s">
        <v>60</v>
      </c>
      <c r="M142" s="6" t="s">
        <v>54</v>
      </c>
      <c r="N142" s="6" t="s">
        <v>62</v>
      </c>
    </row>
    <row r="143" customFormat="false" ht="22.35" hidden="false" customHeight="false" outlineLevel="0" collapsed="false">
      <c r="A143" s="6" t="s">
        <v>621</v>
      </c>
      <c r="B143" s="6" t="s">
        <v>21</v>
      </c>
      <c r="C143" s="6" t="s">
        <v>622</v>
      </c>
      <c r="D143" s="6" t="s">
        <v>623</v>
      </c>
      <c r="E143" s="6" t="s">
        <v>624</v>
      </c>
      <c r="F143" s="6" t="s">
        <v>60</v>
      </c>
      <c r="G143" s="6" t="s">
        <v>52</v>
      </c>
      <c r="H143" s="6" t="s">
        <v>60</v>
      </c>
      <c r="I143" s="6" t="s">
        <v>61</v>
      </c>
      <c r="J143" s="6" t="s">
        <v>60</v>
      </c>
      <c r="K143" s="6" t="s">
        <v>51</v>
      </c>
      <c r="L143" s="6" t="s">
        <v>60</v>
      </c>
      <c r="M143" s="6" t="s">
        <v>54</v>
      </c>
      <c r="N143" s="6" t="s">
        <v>62</v>
      </c>
    </row>
    <row r="144" customFormat="false" ht="32.8" hidden="false" customHeight="false" outlineLevel="0" collapsed="false">
      <c r="A144" s="6" t="s">
        <v>625</v>
      </c>
      <c r="B144" s="6" t="s">
        <v>22</v>
      </c>
      <c r="C144" s="6" t="s">
        <v>364</v>
      </c>
      <c r="D144" s="6" t="s">
        <v>626</v>
      </c>
      <c r="E144" s="6" t="s">
        <v>627</v>
      </c>
      <c r="F144" s="6" t="s">
        <v>60</v>
      </c>
      <c r="G144" s="6" t="s">
        <v>51</v>
      </c>
      <c r="H144" s="6" t="s">
        <v>72</v>
      </c>
      <c r="I144" s="6" t="s">
        <v>52</v>
      </c>
      <c r="J144" s="6" t="s">
        <v>67</v>
      </c>
      <c r="K144" s="6" t="s">
        <v>61</v>
      </c>
      <c r="L144" s="6" t="s">
        <v>67</v>
      </c>
      <c r="M144" s="6" t="s">
        <v>54</v>
      </c>
      <c r="N144" s="6" t="s">
        <v>128</v>
      </c>
    </row>
    <row r="145" customFormat="false" ht="43.25" hidden="false" customHeight="false" outlineLevel="0" collapsed="false">
      <c r="A145" s="6" t="s">
        <v>628</v>
      </c>
      <c r="B145" s="6" t="s">
        <v>22</v>
      </c>
      <c r="C145" s="6" t="s">
        <v>629</v>
      </c>
      <c r="D145" s="6" t="s">
        <v>630</v>
      </c>
      <c r="E145" s="6" t="s">
        <v>631</v>
      </c>
      <c r="F145" s="6" t="s">
        <v>67</v>
      </c>
      <c r="G145" s="6" t="s">
        <v>51</v>
      </c>
      <c r="H145" s="6" t="s">
        <v>67</v>
      </c>
      <c r="I145" s="6" t="s">
        <v>52</v>
      </c>
      <c r="J145" s="6" t="s">
        <v>67</v>
      </c>
      <c r="K145" s="6" t="s">
        <v>61</v>
      </c>
      <c r="L145" s="6" t="s">
        <v>67</v>
      </c>
      <c r="M145" s="6" t="s">
        <v>54</v>
      </c>
      <c r="N145" s="6" t="s">
        <v>128</v>
      </c>
    </row>
    <row r="146" customFormat="false" ht="43.25" hidden="false" customHeight="false" outlineLevel="0" collapsed="false">
      <c r="A146" s="6" t="s">
        <v>632</v>
      </c>
      <c r="B146" s="6" t="s">
        <v>21</v>
      </c>
      <c r="C146" s="6" t="s">
        <v>633</v>
      </c>
      <c r="D146" s="6" t="s">
        <v>634</v>
      </c>
      <c r="E146" s="6" t="s">
        <v>635</v>
      </c>
      <c r="F146" s="6" t="s">
        <v>72</v>
      </c>
      <c r="G146" s="6" t="s">
        <v>52</v>
      </c>
      <c r="H146" s="6" t="s">
        <v>72</v>
      </c>
      <c r="I146" s="6" t="s">
        <v>61</v>
      </c>
      <c r="J146" s="6"/>
      <c r="K146" s="6" t="s">
        <v>53</v>
      </c>
      <c r="L146" s="6" t="s">
        <v>72</v>
      </c>
      <c r="M146" s="6" t="s">
        <v>612</v>
      </c>
      <c r="N146" s="6" t="s">
        <v>73</v>
      </c>
    </row>
    <row r="147" customFormat="false" ht="32.8" hidden="false" customHeight="false" outlineLevel="0" collapsed="false">
      <c r="A147" s="6" t="s">
        <v>636</v>
      </c>
      <c r="B147" s="6" t="s">
        <v>21</v>
      </c>
      <c r="C147" s="6" t="s">
        <v>637</v>
      </c>
      <c r="D147" s="6" t="s">
        <v>638</v>
      </c>
      <c r="E147" s="6" t="s">
        <v>639</v>
      </c>
      <c r="F147" s="6" t="s">
        <v>60</v>
      </c>
      <c r="G147" s="6" t="s">
        <v>52</v>
      </c>
      <c r="H147" s="6" t="s">
        <v>60</v>
      </c>
      <c r="I147" s="6" t="s">
        <v>61</v>
      </c>
      <c r="J147" s="6" t="s">
        <v>60</v>
      </c>
      <c r="K147" s="6" t="s">
        <v>51</v>
      </c>
      <c r="L147" s="6" t="s">
        <v>60</v>
      </c>
      <c r="M147" s="6" t="s">
        <v>54</v>
      </c>
      <c r="N147" s="6" t="s">
        <v>62</v>
      </c>
    </row>
    <row r="148" customFormat="false" ht="32.8" hidden="false" customHeight="false" outlineLevel="0" collapsed="false">
      <c r="A148" s="6" t="s">
        <v>640</v>
      </c>
      <c r="B148" s="6" t="s">
        <v>21</v>
      </c>
      <c r="C148" s="6" t="s">
        <v>641</v>
      </c>
      <c r="D148" s="6" t="s">
        <v>642</v>
      </c>
      <c r="E148" s="6" t="s">
        <v>643</v>
      </c>
      <c r="F148" s="6" t="s">
        <v>67</v>
      </c>
      <c r="G148" s="6" t="s">
        <v>52</v>
      </c>
      <c r="H148" s="6" t="s">
        <v>67</v>
      </c>
      <c r="I148" s="6" t="s">
        <v>61</v>
      </c>
      <c r="J148" s="6"/>
      <c r="K148" s="6" t="s">
        <v>53</v>
      </c>
      <c r="L148" s="6" t="s">
        <v>67</v>
      </c>
      <c r="M148" s="6" t="s">
        <v>612</v>
      </c>
      <c r="N148" s="6" t="s">
        <v>128</v>
      </c>
    </row>
    <row r="149" customFormat="false" ht="43.25" hidden="false" customHeight="false" outlineLevel="0" collapsed="false">
      <c r="A149" s="6" t="s">
        <v>644</v>
      </c>
      <c r="B149" s="6" t="s">
        <v>22</v>
      </c>
      <c r="C149" s="6" t="s">
        <v>392</v>
      </c>
      <c r="D149" s="6" t="s">
        <v>645</v>
      </c>
      <c r="E149" s="6" t="s">
        <v>646</v>
      </c>
      <c r="F149" s="6" t="s">
        <v>50</v>
      </c>
      <c r="G149" s="6" t="s">
        <v>51</v>
      </c>
      <c r="H149" s="6" t="s">
        <v>50</v>
      </c>
      <c r="I149" s="6" t="s">
        <v>52</v>
      </c>
      <c r="J149" s="6" t="s">
        <v>50</v>
      </c>
      <c r="K149" s="6" t="s">
        <v>61</v>
      </c>
      <c r="L149" s="6" t="s">
        <v>50</v>
      </c>
      <c r="M149" s="6" t="s">
        <v>54</v>
      </c>
      <c r="N149" s="6" t="s">
        <v>55</v>
      </c>
    </row>
    <row r="150" customFormat="false" ht="32.8" hidden="false" customHeight="false" outlineLevel="0" collapsed="false">
      <c r="A150" s="6" t="s">
        <v>647</v>
      </c>
      <c r="B150" s="6" t="s">
        <v>22</v>
      </c>
      <c r="C150" s="6" t="s">
        <v>224</v>
      </c>
      <c r="D150" s="6" t="s">
        <v>648</v>
      </c>
      <c r="E150" s="6" t="s">
        <v>649</v>
      </c>
      <c r="F150" s="6" t="s">
        <v>72</v>
      </c>
      <c r="G150" s="6" t="s">
        <v>52</v>
      </c>
      <c r="H150" s="6" t="s">
        <v>72</v>
      </c>
      <c r="I150" s="6" t="s">
        <v>53</v>
      </c>
      <c r="J150" s="6" t="s">
        <v>72</v>
      </c>
      <c r="K150" s="6" t="s">
        <v>51</v>
      </c>
      <c r="L150" s="6" t="s">
        <v>72</v>
      </c>
      <c r="M150" s="6" t="s">
        <v>54</v>
      </c>
      <c r="N150" s="6" t="s">
        <v>73</v>
      </c>
    </row>
    <row r="151" customFormat="false" ht="43.25" hidden="false" customHeight="false" outlineLevel="0" collapsed="false">
      <c r="A151" s="6" t="s">
        <v>650</v>
      </c>
      <c r="B151" s="6" t="s">
        <v>22</v>
      </c>
      <c r="C151" s="6" t="s">
        <v>651</v>
      </c>
      <c r="D151" s="6" t="s">
        <v>652</v>
      </c>
      <c r="E151" s="6" t="s">
        <v>653</v>
      </c>
      <c r="F151" s="6" t="s">
        <v>50</v>
      </c>
      <c r="G151" s="6" t="s">
        <v>51</v>
      </c>
      <c r="H151" s="6" t="s">
        <v>50</v>
      </c>
      <c r="I151" s="6" t="s">
        <v>52</v>
      </c>
      <c r="J151" s="6" t="s">
        <v>50</v>
      </c>
      <c r="K151" s="6" t="s">
        <v>61</v>
      </c>
      <c r="L151" s="6" t="s">
        <v>50</v>
      </c>
      <c r="M151" s="6" t="s">
        <v>54</v>
      </c>
      <c r="N151" s="6" t="s">
        <v>55</v>
      </c>
    </row>
    <row r="152" customFormat="false" ht="32.8" hidden="false" customHeight="false" outlineLevel="0" collapsed="false">
      <c r="A152" s="6" t="s">
        <v>654</v>
      </c>
      <c r="B152" s="6" t="s">
        <v>22</v>
      </c>
      <c r="C152" s="6" t="s">
        <v>220</v>
      </c>
      <c r="D152" s="6" t="s">
        <v>655</v>
      </c>
      <c r="E152" s="6" t="s">
        <v>656</v>
      </c>
      <c r="F152" s="6" t="s">
        <v>60</v>
      </c>
      <c r="G152" s="6" t="s">
        <v>52</v>
      </c>
      <c r="H152" s="6" t="s">
        <v>60</v>
      </c>
      <c r="I152" s="6" t="s">
        <v>61</v>
      </c>
      <c r="J152" s="6"/>
      <c r="K152" s="6" t="s">
        <v>53</v>
      </c>
      <c r="L152" s="6" t="s">
        <v>60</v>
      </c>
      <c r="M152" s="6" t="s">
        <v>612</v>
      </c>
      <c r="N152" s="6" t="s">
        <v>62</v>
      </c>
    </row>
    <row r="153" customFormat="false" ht="32.8" hidden="false" customHeight="false" outlineLevel="0" collapsed="false">
      <c r="A153" s="6" t="s">
        <v>657</v>
      </c>
      <c r="B153" s="6" t="s">
        <v>22</v>
      </c>
      <c r="C153" s="6" t="s">
        <v>658</v>
      </c>
      <c r="D153" s="6" t="s">
        <v>659</v>
      </c>
      <c r="E153" s="6" t="s">
        <v>660</v>
      </c>
      <c r="F153" s="6" t="s">
        <v>72</v>
      </c>
      <c r="G153" s="6" t="s">
        <v>52</v>
      </c>
      <c r="H153" s="6" t="s">
        <v>72</v>
      </c>
      <c r="I153" s="6" t="s">
        <v>61</v>
      </c>
      <c r="J153" s="6" t="s">
        <v>72</v>
      </c>
      <c r="K153" s="6" t="s">
        <v>51</v>
      </c>
      <c r="L153" s="6" t="s">
        <v>72</v>
      </c>
      <c r="M153" s="6" t="s">
        <v>54</v>
      </c>
      <c r="N153" s="6" t="s">
        <v>73</v>
      </c>
    </row>
    <row r="154" customFormat="false" ht="32.8" hidden="false" customHeight="false" outlineLevel="0" collapsed="false">
      <c r="A154" s="6" t="s">
        <v>661</v>
      </c>
      <c r="B154" s="6" t="s">
        <v>21</v>
      </c>
      <c r="C154" s="6" t="s">
        <v>662</v>
      </c>
      <c r="D154" s="6" t="s">
        <v>663</v>
      </c>
      <c r="E154" s="6" t="s">
        <v>664</v>
      </c>
      <c r="F154" s="6" t="s">
        <v>67</v>
      </c>
      <c r="G154" s="6" t="s">
        <v>51</v>
      </c>
      <c r="H154" s="6" t="s">
        <v>67</v>
      </c>
      <c r="I154" s="6" t="s">
        <v>52</v>
      </c>
      <c r="J154" s="6" t="s">
        <v>67</v>
      </c>
      <c r="K154" s="6" t="s">
        <v>61</v>
      </c>
      <c r="L154" s="6" t="s">
        <v>67</v>
      </c>
      <c r="M154" s="6" t="s">
        <v>54</v>
      </c>
      <c r="N154" s="6" t="s">
        <v>128</v>
      </c>
    </row>
    <row r="155" customFormat="false" ht="32.8" hidden="false" customHeight="false" outlineLevel="0" collapsed="false">
      <c r="A155" s="6" t="s">
        <v>665</v>
      </c>
      <c r="B155" s="6" t="s">
        <v>22</v>
      </c>
      <c r="C155" s="6" t="s">
        <v>220</v>
      </c>
      <c r="D155" s="6" t="s">
        <v>666</v>
      </c>
      <c r="E155" s="6" t="s">
        <v>667</v>
      </c>
      <c r="F155" s="6" t="s">
        <v>60</v>
      </c>
      <c r="G155" s="6" t="s">
        <v>52</v>
      </c>
      <c r="H155" s="6" t="s">
        <v>60</v>
      </c>
      <c r="I155" s="6" t="s">
        <v>53</v>
      </c>
      <c r="J155" s="6" t="s">
        <v>60</v>
      </c>
      <c r="K155" s="6" t="s">
        <v>51</v>
      </c>
      <c r="L155" s="6" t="s">
        <v>60</v>
      </c>
      <c r="M155" s="6" t="s">
        <v>54</v>
      </c>
      <c r="N155" s="6" t="s">
        <v>62</v>
      </c>
    </row>
    <row r="156" customFormat="false" ht="22.35" hidden="false" customHeight="false" outlineLevel="0" collapsed="false">
      <c r="A156" s="6" t="s">
        <v>668</v>
      </c>
      <c r="B156" s="6" t="s">
        <v>21</v>
      </c>
      <c r="C156" s="6" t="s">
        <v>669</v>
      </c>
      <c r="D156" s="6" t="s">
        <v>670</v>
      </c>
      <c r="E156" s="6" t="s">
        <v>671</v>
      </c>
      <c r="F156" s="6" t="s">
        <v>72</v>
      </c>
      <c r="G156" s="6" t="s">
        <v>52</v>
      </c>
      <c r="H156" s="6" t="s">
        <v>72</v>
      </c>
      <c r="I156" s="6" t="s">
        <v>61</v>
      </c>
      <c r="J156" s="6" t="s">
        <v>72</v>
      </c>
      <c r="K156" s="6" t="s">
        <v>53</v>
      </c>
      <c r="L156" s="6" t="s">
        <v>72</v>
      </c>
      <c r="M156" s="6" t="s">
        <v>54</v>
      </c>
      <c r="N156" s="6" t="s">
        <v>73</v>
      </c>
    </row>
    <row r="157" customFormat="false" ht="32.8" hidden="false" customHeight="false" outlineLevel="0" collapsed="false">
      <c r="A157" s="6" t="s">
        <v>672</v>
      </c>
      <c r="B157" s="6" t="s">
        <v>21</v>
      </c>
      <c r="C157" s="6" t="s">
        <v>673</v>
      </c>
      <c r="D157" s="6" t="s">
        <v>674</v>
      </c>
      <c r="E157" s="6" t="s">
        <v>675</v>
      </c>
      <c r="F157" s="6" t="s">
        <v>67</v>
      </c>
      <c r="G157" s="6" t="s">
        <v>51</v>
      </c>
      <c r="H157" s="6" t="s">
        <v>67</v>
      </c>
      <c r="I157" s="6" t="s">
        <v>52</v>
      </c>
      <c r="J157" s="6" t="s">
        <v>67</v>
      </c>
      <c r="K157" s="6" t="s">
        <v>61</v>
      </c>
      <c r="L157" s="6" t="s">
        <v>67</v>
      </c>
      <c r="M157" s="6" t="s">
        <v>54</v>
      </c>
      <c r="N157" s="6" t="s">
        <v>128</v>
      </c>
    </row>
    <row r="158" customFormat="false" ht="22.35" hidden="false" customHeight="false" outlineLevel="0" collapsed="false">
      <c r="A158" s="6" t="s">
        <v>676</v>
      </c>
      <c r="B158" s="6" t="s">
        <v>22</v>
      </c>
      <c r="C158" s="6" t="s">
        <v>224</v>
      </c>
      <c r="D158" s="6" t="s">
        <v>677</v>
      </c>
      <c r="E158" s="6" t="s">
        <v>678</v>
      </c>
      <c r="F158" s="6" t="s">
        <v>60</v>
      </c>
      <c r="G158" s="6" t="s">
        <v>52</v>
      </c>
      <c r="H158" s="6" t="s">
        <v>60</v>
      </c>
      <c r="I158" s="6" t="s">
        <v>61</v>
      </c>
      <c r="J158" s="6"/>
      <c r="K158" s="6" t="s">
        <v>53</v>
      </c>
      <c r="L158" s="6" t="s">
        <v>60</v>
      </c>
      <c r="M158" s="6" t="s">
        <v>612</v>
      </c>
      <c r="N158" s="6" t="s">
        <v>62</v>
      </c>
    </row>
    <row r="159" customFormat="false" ht="22.35" hidden="false" customHeight="false" outlineLevel="0" collapsed="false">
      <c r="A159" s="6" t="s">
        <v>679</v>
      </c>
      <c r="B159" s="6" t="s">
        <v>23</v>
      </c>
      <c r="C159" s="6" t="s">
        <v>680</v>
      </c>
      <c r="D159" s="6" t="s">
        <v>681</v>
      </c>
      <c r="E159" s="6" t="s">
        <v>682</v>
      </c>
      <c r="F159" s="6" t="s">
        <v>85</v>
      </c>
      <c r="G159" s="6" t="s">
        <v>61</v>
      </c>
      <c r="H159" s="6" t="s">
        <v>85</v>
      </c>
      <c r="I159" s="6" t="s">
        <v>53</v>
      </c>
      <c r="J159" s="6" t="s">
        <v>85</v>
      </c>
      <c r="K159" s="6" t="s">
        <v>52</v>
      </c>
      <c r="L159" s="6" t="s">
        <v>85</v>
      </c>
      <c r="M159" s="6" t="s">
        <v>54</v>
      </c>
      <c r="N159" s="6" t="s">
        <v>683</v>
      </c>
    </row>
    <row r="160" customFormat="false" ht="22.35" hidden="false" customHeight="false" outlineLevel="0" collapsed="false">
      <c r="A160" s="6" t="s">
        <v>684</v>
      </c>
      <c r="B160" s="6" t="s">
        <v>23</v>
      </c>
      <c r="C160" s="6" t="s">
        <v>680</v>
      </c>
      <c r="D160" s="6" t="s">
        <v>685</v>
      </c>
      <c r="E160" s="6" t="s">
        <v>686</v>
      </c>
      <c r="F160" s="6" t="s">
        <v>85</v>
      </c>
      <c r="G160" s="6" t="s">
        <v>61</v>
      </c>
      <c r="H160" s="6" t="s">
        <v>85</v>
      </c>
      <c r="I160" s="6" t="s">
        <v>53</v>
      </c>
      <c r="J160" s="6" t="s">
        <v>85</v>
      </c>
      <c r="K160" s="6" t="s">
        <v>52</v>
      </c>
      <c r="L160" s="6" t="s">
        <v>85</v>
      </c>
      <c r="M160" s="6" t="s">
        <v>54</v>
      </c>
      <c r="N160" s="6" t="s">
        <v>687</v>
      </c>
    </row>
    <row r="161" customFormat="false" ht="15" hidden="false" customHeight="false" outlineLevel="0" collapsed="false">
      <c r="A161" s="6" t="s">
        <v>688</v>
      </c>
      <c r="B161" s="6" t="s">
        <v>23</v>
      </c>
      <c r="C161" s="6" t="s">
        <v>680</v>
      </c>
      <c r="D161" s="6" t="s">
        <v>689</v>
      </c>
      <c r="E161" s="6" t="s">
        <v>690</v>
      </c>
      <c r="F161" s="6" t="s">
        <v>85</v>
      </c>
      <c r="G161" s="6" t="s">
        <v>61</v>
      </c>
      <c r="H161" s="6" t="s">
        <v>85</v>
      </c>
      <c r="I161" s="6" t="s">
        <v>53</v>
      </c>
      <c r="J161" s="6" t="s">
        <v>85</v>
      </c>
      <c r="K161" s="6" t="s">
        <v>52</v>
      </c>
      <c r="L161" s="6" t="s">
        <v>85</v>
      </c>
      <c r="M161" s="6" t="s">
        <v>54</v>
      </c>
      <c r="N161" s="6" t="s">
        <v>691</v>
      </c>
    </row>
    <row r="162" customFormat="false" ht="22.35" hidden="false" customHeight="false" outlineLevel="0" collapsed="false">
      <c r="A162" s="6" t="s">
        <v>692</v>
      </c>
      <c r="B162" s="6" t="s">
        <v>23</v>
      </c>
      <c r="C162" s="6" t="s">
        <v>680</v>
      </c>
      <c r="D162" s="6" t="s">
        <v>693</v>
      </c>
      <c r="E162" s="6" t="s">
        <v>694</v>
      </c>
      <c r="F162" s="6" t="s">
        <v>85</v>
      </c>
      <c r="G162" s="6" t="s">
        <v>61</v>
      </c>
      <c r="H162" s="6" t="s">
        <v>85</v>
      </c>
      <c r="I162" s="6" t="s">
        <v>52</v>
      </c>
      <c r="J162" s="6" t="s">
        <v>85</v>
      </c>
      <c r="K162" s="6" t="s">
        <v>51</v>
      </c>
      <c r="L162" s="6" t="s">
        <v>85</v>
      </c>
      <c r="M162" s="6" t="s">
        <v>54</v>
      </c>
      <c r="N162" s="6" t="s">
        <v>695</v>
      </c>
    </row>
    <row r="163" customFormat="false" ht="22.35" hidden="false" customHeight="false" outlineLevel="0" collapsed="false">
      <c r="A163" s="6" t="s">
        <v>696</v>
      </c>
      <c r="B163" s="6" t="s">
        <v>23</v>
      </c>
      <c r="C163" s="6" t="s">
        <v>680</v>
      </c>
      <c r="D163" s="6" t="s">
        <v>697</v>
      </c>
      <c r="E163" s="6" t="s">
        <v>698</v>
      </c>
      <c r="F163" s="6" t="s">
        <v>60</v>
      </c>
      <c r="G163" s="6" t="s">
        <v>61</v>
      </c>
      <c r="H163" s="6" t="s">
        <v>60</v>
      </c>
      <c r="I163" s="6" t="s">
        <v>52</v>
      </c>
      <c r="J163" s="6" t="s">
        <v>60</v>
      </c>
      <c r="K163" s="6" t="s">
        <v>53</v>
      </c>
      <c r="L163" s="6" t="s">
        <v>60</v>
      </c>
      <c r="M163" s="6" t="s">
        <v>54</v>
      </c>
      <c r="N163" s="6" t="s">
        <v>62</v>
      </c>
    </row>
    <row r="164" customFormat="false" ht="32.8" hidden="false" customHeight="false" outlineLevel="0" collapsed="false">
      <c r="A164" s="6" t="s">
        <v>699</v>
      </c>
      <c r="B164" s="6" t="s">
        <v>23</v>
      </c>
      <c r="C164" s="6" t="s">
        <v>680</v>
      </c>
      <c r="D164" s="6" t="s">
        <v>700</v>
      </c>
      <c r="E164" s="6" t="s">
        <v>701</v>
      </c>
      <c r="F164" s="6" t="s">
        <v>85</v>
      </c>
      <c r="G164" s="6" t="s">
        <v>61</v>
      </c>
      <c r="H164" s="6" t="s">
        <v>85</v>
      </c>
      <c r="I164" s="6" t="s">
        <v>53</v>
      </c>
      <c r="J164" s="6" t="s">
        <v>85</v>
      </c>
      <c r="K164" s="6" t="s">
        <v>52</v>
      </c>
      <c r="L164" s="6" t="s">
        <v>85</v>
      </c>
      <c r="M164" s="6" t="s">
        <v>54</v>
      </c>
      <c r="N164" s="6" t="s">
        <v>702</v>
      </c>
    </row>
    <row r="165" customFormat="false" ht="22.35" hidden="false" customHeight="false" outlineLevel="0" collapsed="false">
      <c r="A165" s="6" t="s">
        <v>703</v>
      </c>
      <c r="B165" s="6" t="s">
        <v>23</v>
      </c>
      <c r="C165" s="6" t="s">
        <v>680</v>
      </c>
      <c r="D165" s="6" t="s">
        <v>704</v>
      </c>
      <c r="E165" s="6" t="s">
        <v>705</v>
      </c>
      <c r="F165" s="6" t="s">
        <v>85</v>
      </c>
      <c r="G165" s="6" t="s">
        <v>61</v>
      </c>
      <c r="H165" s="6" t="s">
        <v>85</v>
      </c>
      <c r="I165" s="6" t="s">
        <v>53</v>
      </c>
      <c r="J165" s="6" t="s">
        <v>85</v>
      </c>
      <c r="K165" s="6" t="s">
        <v>52</v>
      </c>
      <c r="L165" s="6" t="s">
        <v>85</v>
      </c>
      <c r="M165" s="6" t="s">
        <v>54</v>
      </c>
      <c r="N165" s="6" t="s">
        <v>706</v>
      </c>
    </row>
    <row r="166" customFormat="false" ht="22.35" hidden="false" customHeight="false" outlineLevel="0" collapsed="false">
      <c r="A166" s="6" t="s">
        <v>707</v>
      </c>
      <c r="B166" s="6" t="s">
        <v>23</v>
      </c>
      <c r="C166" s="6" t="s">
        <v>680</v>
      </c>
      <c r="D166" s="6" t="s">
        <v>708</v>
      </c>
      <c r="E166" s="6" t="s">
        <v>709</v>
      </c>
      <c r="F166" s="6" t="s">
        <v>85</v>
      </c>
      <c r="G166" s="6" t="s">
        <v>61</v>
      </c>
      <c r="H166" s="6" t="s">
        <v>85</v>
      </c>
      <c r="I166" s="6" t="s">
        <v>53</v>
      </c>
      <c r="J166" s="6" t="s">
        <v>85</v>
      </c>
      <c r="K166" s="6" t="s">
        <v>52</v>
      </c>
      <c r="L166" s="6" t="s">
        <v>85</v>
      </c>
      <c r="M166" s="6" t="s">
        <v>54</v>
      </c>
      <c r="N166" s="6" t="s">
        <v>710</v>
      </c>
    </row>
    <row r="167" customFormat="false" ht="22.35" hidden="false" customHeight="false" outlineLevel="0" collapsed="false">
      <c r="A167" s="6" t="s">
        <v>711</v>
      </c>
      <c r="B167" s="6" t="s">
        <v>23</v>
      </c>
      <c r="C167" s="6" t="s">
        <v>680</v>
      </c>
      <c r="D167" s="6" t="s">
        <v>712</v>
      </c>
      <c r="E167" s="6" t="s">
        <v>713</v>
      </c>
      <c r="F167" s="6" t="s">
        <v>85</v>
      </c>
      <c r="G167" s="6" t="s">
        <v>61</v>
      </c>
      <c r="H167" s="6" t="s">
        <v>67</v>
      </c>
      <c r="I167" s="6" t="s">
        <v>53</v>
      </c>
      <c r="J167" s="6" t="s">
        <v>85</v>
      </c>
      <c r="K167" s="6" t="s">
        <v>52</v>
      </c>
      <c r="L167" s="6" t="s">
        <v>85</v>
      </c>
      <c r="M167" s="6" t="s">
        <v>54</v>
      </c>
      <c r="N167" s="6" t="s">
        <v>714</v>
      </c>
    </row>
    <row r="168" customFormat="false" ht="32.8" hidden="false" customHeight="false" outlineLevel="0" collapsed="false">
      <c r="A168" s="6" t="s">
        <v>715</v>
      </c>
      <c r="B168" s="6" t="s">
        <v>23</v>
      </c>
      <c r="C168" s="6" t="s">
        <v>680</v>
      </c>
      <c r="D168" s="6" t="s">
        <v>716</v>
      </c>
      <c r="E168" s="6" t="s">
        <v>717</v>
      </c>
      <c r="F168" s="6" t="s">
        <v>85</v>
      </c>
      <c r="G168" s="6" t="s">
        <v>61</v>
      </c>
      <c r="H168" s="6" t="s">
        <v>85</v>
      </c>
      <c r="I168" s="6" t="s">
        <v>53</v>
      </c>
      <c r="J168" s="6" t="s">
        <v>85</v>
      </c>
      <c r="K168" s="6" t="s">
        <v>51</v>
      </c>
      <c r="L168" s="6" t="s">
        <v>85</v>
      </c>
      <c r="M168" s="6" t="s">
        <v>54</v>
      </c>
      <c r="N168" s="6" t="s">
        <v>718</v>
      </c>
    </row>
    <row r="169" customFormat="false" ht="32.8" hidden="false" customHeight="false" outlineLevel="0" collapsed="false">
      <c r="A169" s="6" t="s">
        <v>719</v>
      </c>
      <c r="B169" s="6" t="s">
        <v>23</v>
      </c>
      <c r="C169" s="6" t="s">
        <v>279</v>
      </c>
      <c r="D169" s="6" t="s">
        <v>720</v>
      </c>
      <c r="E169" s="6" t="s">
        <v>721</v>
      </c>
      <c r="F169" s="6" t="s">
        <v>72</v>
      </c>
      <c r="G169" s="6" t="s">
        <v>52</v>
      </c>
      <c r="H169" s="6" t="s">
        <v>72</v>
      </c>
      <c r="I169" s="6" t="s">
        <v>61</v>
      </c>
      <c r="J169" s="6" t="s">
        <v>72</v>
      </c>
      <c r="K169" s="6" t="s">
        <v>53</v>
      </c>
      <c r="L169" s="6" t="s">
        <v>72</v>
      </c>
      <c r="M169" s="6" t="s">
        <v>54</v>
      </c>
      <c r="N169" s="6" t="s">
        <v>73</v>
      </c>
    </row>
    <row r="170" customFormat="false" ht="32.8" hidden="false" customHeight="false" outlineLevel="0" collapsed="false">
      <c r="A170" s="6" t="s">
        <v>722</v>
      </c>
      <c r="B170" s="6" t="s">
        <v>23</v>
      </c>
      <c r="C170" s="6" t="s">
        <v>279</v>
      </c>
      <c r="D170" s="6" t="s">
        <v>723</v>
      </c>
      <c r="E170" s="6" t="s">
        <v>724</v>
      </c>
      <c r="F170" s="6" t="s">
        <v>67</v>
      </c>
      <c r="G170" s="6" t="s">
        <v>52</v>
      </c>
      <c r="H170" s="6" t="s">
        <v>72</v>
      </c>
      <c r="I170" s="6" t="s">
        <v>61</v>
      </c>
      <c r="J170" s="6" t="s">
        <v>72</v>
      </c>
      <c r="K170" s="6" t="s">
        <v>51</v>
      </c>
      <c r="L170" s="6" t="s">
        <v>72</v>
      </c>
      <c r="M170" s="6" t="s">
        <v>54</v>
      </c>
      <c r="N170" s="6" t="s">
        <v>73</v>
      </c>
    </row>
    <row r="171" customFormat="false" ht="43.25" hidden="false" customHeight="false" outlineLevel="0" collapsed="false">
      <c r="A171" s="6" t="s">
        <v>725</v>
      </c>
      <c r="B171" s="6" t="s">
        <v>21</v>
      </c>
      <c r="C171" s="6" t="s">
        <v>726</v>
      </c>
      <c r="D171" s="6" t="s">
        <v>727</v>
      </c>
      <c r="E171" s="6" t="s">
        <v>728</v>
      </c>
      <c r="F171" s="6" t="s">
        <v>67</v>
      </c>
      <c r="G171" s="6" t="s">
        <v>51</v>
      </c>
      <c r="H171" s="6" t="s">
        <v>67</v>
      </c>
      <c r="I171" s="6" t="s">
        <v>52</v>
      </c>
      <c r="J171" s="6" t="s">
        <v>67</v>
      </c>
      <c r="K171" s="6" t="s">
        <v>61</v>
      </c>
      <c r="L171" s="6" t="s">
        <v>67</v>
      </c>
      <c r="M171" s="6" t="s">
        <v>54</v>
      </c>
      <c r="N171" s="6" t="s">
        <v>128</v>
      </c>
    </row>
    <row r="172" customFormat="false" ht="32.8" hidden="false" customHeight="false" outlineLevel="0" collapsed="false">
      <c r="A172" s="6" t="s">
        <v>729</v>
      </c>
      <c r="B172" s="6" t="s">
        <v>23</v>
      </c>
      <c r="C172" s="6" t="s">
        <v>279</v>
      </c>
      <c r="D172" s="6" t="s">
        <v>730</v>
      </c>
      <c r="E172" s="6" t="s">
        <v>731</v>
      </c>
      <c r="F172" s="6" t="s">
        <v>72</v>
      </c>
      <c r="G172" s="6" t="s">
        <v>52</v>
      </c>
      <c r="H172" s="6" t="s">
        <v>72</v>
      </c>
      <c r="I172" s="6" t="s">
        <v>61</v>
      </c>
      <c r="J172" s="6" t="s">
        <v>72</v>
      </c>
      <c r="K172" s="6" t="s">
        <v>53</v>
      </c>
      <c r="L172" s="6" t="s">
        <v>72</v>
      </c>
      <c r="M172" s="6" t="s">
        <v>54</v>
      </c>
      <c r="N172" s="6" t="s">
        <v>73</v>
      </c>
    </row>
    <row r="173" customFormat="false" ht="85.05" hidden="false" customHeight="false" outlineLevel="0" collapsed="false">
      <c r="A173" s="6" t="s">
        <v>732</v>
      </c>
      <c r="B173" s="6" t="s">
        <v>21</v>
      </c>
      <c r="C173" s="6" t="s">
        <v>733</v>
      </c>
      <c r="D173" s="6" t="s">
        <v>734</v>
      </c>
      <c r="E173" s="6" t="s">
        <v>735</v>
      </c>
      <c r="F173" s="6" t="s">
        <v>72</v>
      </c>
      <c r="G173" s="6" t="s">
        <v>51</v>
      </c>
      <c r="H173" s="6" t="s">
        <v>72</v>
      </c>
      <c r="I173" s="6" t="s">
        <v>52</v>
      </c>
      <c r="J173" s="6" t="s">
        <v>72</v>
      </c>
      <c r="K173" s="6" t="s">
        <v>61</v>
      </c>
      <c r="L173" s="6" t="s">
        <v>72</v>
      </c>
      <c r="M173" s="6" t="s">
        <v>54</v>
      </c>
      <c r="N173" s="6" t="s">
        <v>73</v>
      </c>
    </row>
    <row r="174" customFormat="false" ht="32.8" hidden="false" customHeight="false" outlineLevel="0" collapsed="false">
      <c r="A174" s="6" t="s">
        <v>736</v>
      </c>
      <c r="B174" s="6" t="s">
        <v>21</v>
      </c>
      <c r="C174" s="6" t="s">
        <v>737</v>
      </c>
      <c r="D174" s="6" t="s">
        <v>738</v>
      </c>
      <c r="E174" s="6" t="s">
        <v>739</v>
      </c>
      <c r="F174" s="6" t="s">
        <v>50</v>
      </c>
      <c r="G174" s="6" t="s">
        <v>52</v>
      </c>
      <c r="H174" s="6" t="s">
        <v>67</v>
      </c>
      <c r="I174" s="6" t="s">
        <v>52</v>
      </c>
      <c r="J174" s="6" t="s">
        <v>67</v>
      </c>
      <c r="K174" s="6" t="s">
        <v>61</v>
      </c>
      <c r="L174" s="6" t="s">
        <v>67</v>
      </c>
      <c r="M174" s="6" t="s">
        <v>54</v>
      </c>
      <c r="N174" s="6" t="s">
        <v>128</v>
      </c>
    </row>
    <row r="175" customFormat="false" ht="22.35" hidden="false" customHeight="false" outlineLevel="0" collapsed="false">
      <c r="A175" s="6" t="s">
        <v>740</v>
      </c>
      <c r="B175" s="6" t="s">
        <v>23</v>
      </c>
      <c r="C175" s="6" t="s">
        <v>279</v>
      </c>
      <c r="D175" s="6" t="s">
        <v>741</v>
      </c>
      <c r="E175" s="6" t="s">
        <v>742</v>
      </c>
      <c r="F175" s="6" t="s">
        <v>60</v>
      </c>
      <c r="G175" s="6" t="s">
        <v>52</v>
      </c>
      <c r="H175" s="6" t="s">
        <v>72</v>
      </c>
      <c r="I175" s="6" t="s">
        <v>61</v>
      </c>
      <c r="J175" s="6" t="s">
        <v>72</v>
      </c>
      <c r="K175" s="6" t="s">
        <v>51</v>
      </c>
      <c r="L175" s="6" t="s">
        <v>72</v>
      </c>
      <c r="M175" s="6" t="s">
        <v>54</v>
      </c>
      <c r="N175" s="6" t="s">
        <v>73</v>
      </c>
    </row>
    <row r="176" customFormat="false" ht="43.25" hidden="false" customHeight="false" outlineLevel="0" collapsed="false">
      <c r="A176" s="6" t="s">
        <v>743</v>
      </c>
      <c r="B176" s="6" t="s">
        <v>23</v>
      </c>
      <c r="C176" s="6" t="s">
        <v>279</v>
      </c>
      <c r="D176" s="6" t="s">
        <v>744</v>
      </c>
      <c r="E176" s="6" t="s">
        <v>745</v>
      </c>
      <c r="F176" s="6" t="s">
        <v>72</v>
      </c>
      <c r="G176" s="6" t="s">
        <v>52</v>
      </c>
      <c r="H176" s="6" t="s">
        <v>72</v>
      </c>
      <c r="I176" s="6" t="s">
        <v>61</v>
      </c>
      <c r="J176" s="6" t="s">
        <v>72</v>
      </c>
      <c r="K176" s="6" t="s">
        <v>53</v>
      </c>
      <c r="L176" s="6" t="s">
        <v>72</v>
      </c>
      <c r="M176" s="6" t="s">
        <v>54</v>
      </c>
      <c r="N176" s="6" t="s">
        <v>73</v>
      </c>
    </row>
    <row r="177" customFormat="false" ht="22.35" hidden="false" customHeight="false" outlineLevel="0" collapsed="false">
      <c r="A177" s="6" t="s">
        <v>746</v>
      </c>
      <c r="B177" s="6" t="s">
        <v>22</v>
      </c>
      <c r="C177" s="6" t="s">
        <v>747</v>
      </c>
      <c r="D177" s="6" t="s">
        <v>748</v>
      </c>
      <c r="E177" s="6" t="s">
        <v>749</v>
      </c>
      <c r="F177" s="6" t="s">
        <v>67</v>
      </c>
      <c r="G177" s="6" t="s">
        <v>51</v>
      </c>
      <c r="H177" s="6" t="s">
        <v>67</v>
      </c>
      <c r="I177" s="6" t="s">
        <v>52</v>
      </c>
      <c r="J177" s="6" t="s">
        <v>67</v>
      </c>
      <c r="K177" s="6" t="s">
        <v>61</v>
      </c>
      <c r="L177" s="6" t="s">
        <v>67</v>
      </c>
      <c r="M177" s="6" t="s">
        <v>54</v>
      </c>
      <c r="N177" s="6" t="s">
        <v>128</v>
      </c>
    </row>
    <row r="178" customFormat="false" ht="64.15" hidden="false" customHeight="false" outlineLevel="0" collapsed="false">
      <c r="A178" s="6" t="s">
        <v>750</v>
      </c>
      <c r="B178" s="6" t="s">
        <v>24</v>
      </c>
      <c r="C178" s="6" t="s">
        <v>341</v>
      </c>
      <c r="D178" s="6" t="s">
        <v>751</v>
      </c>
      <c r="E178" s="6" t="s">
        <v>752</v>
      </c>
      <c r="F178" s="6" t="s">
        <v>72</v>
      </c>
      <c r="G178" s="6" t="s">
        <v>52</v>
      </c>
      <c r="H178" s="6" t="s">
        <v>72</v>
      </c>
      <c r="I178" s="6" t="s">
        <v>53</v>
      </c>
      <c r="J178" s="6" t="s">
        <v>72</v>
      </c>
      <c r="K178" s="6" t="s">
        <v>51</v>
      </c>
      <c r="L178" s="6" t="s">
        <v>72</v>
      </c>
      <c r="M178" s="6" t="s">
        <v>54</v>
      </c>
      <c r="N178" s="6" t="s">
        <v>73</v>
      </c>
    </row>
    <row r="179" customFormat="false" ht="32.8" hidden="false" customHeight="false" outlineLevel="0" collapsed="false">
      <c r="A179" s="6" t="s">
        <v>753</v>
      </c>
      <c r="B179" s="6" t="s">
        <v>22</v>
      </c>
      <c r="C179" s="6" t="s">
        <v>754</v>
      </c>
      <c r="D179" s="6" t="s">
        <v>755</v>
      </c>
      <c r="E179" s="6" t="s">
        <v>756</v>
      </c>
      <c r="F179" s="6" t="s">
        <v>85</v>
      </c>
      <c r="G179" s="6" t="s">
        <v>51</v>
      </c>
      <c r="H179" s="6" t="s">
        <v>50</v>
      </c>
      <c r="I179" s="6" t="s">
        <v>52</v>
      </c>
      <c r="J179" s="6" t="s">
        <v>85</v>
      </c>
      <c r="K179" s="6" t="s">
        <v>61</v>
      </c>
      <c r="L179" s="6" t="s">
        <v>85</v>
      </c>
      <c r="M179" s="6" t="s">
        <v>54</v>
      </c>
      <c r="N179" s="6" t="s">
        <v>757</v>
      </c>
    </row>
    <row r="180" customFormat="false" ht="43.25" hidden="false" customHeight="false" outlineLevel="0" collapsed="false">
      <c r="A180" s="6" t="s">
        <v>758</v>
      </c>
      <c r="B180" s="6" t="s">
        <v>23</v>
      </c>
      <c r="C180" s="6" t="s">
        <v>279</v>
      </c>
      <c r="D180" s="6" t="s">
        <v>759</v>
      </c>
      <c r="E180" s="6" t="s">
        <v>760</v>
      </c>
      <c r="F180" s="6" t="s">
        <v>60</v>
      </c>
      <c r="G180" s="6" t="s">
        <v>52</v>
      </c>
      <c r="H180" s="6" t="s">
        <v>60</v>
      </c>
      <c r="I180" s="6" t="s">
        <v>53</v>
      </c>
      <c r="J180" s="6" t="s">
        <v>60</v>
      </c>
      <c r="K180" s="6" t="s">
        <v>51</v>
      </c>
      <c r="L180" s="6" t="s">
        <v>60</v>
      </c>
      <c r="M180" s="6" t="s">
        <v>54</v>
      </c>
      <c r="N180" s="6" t="s">
        <v>62</v>
      </c>
    </row>
    <row r="181" customFormat="false" ht="32.8" hidden="false" customHeight="false" outlineLevel="0" collapsed="false">
      <c r="A181" s="6" t="s">
        <v>761</v>
      </c>
      <c r="B181" s="6" t="s">
        <v>22</v>
      </c>
      <c r="C181" s="6" t="s">
        <v>485</v>
      </c>
      <c r="D181" s="6" t="s">
        <v>762</v>
      </c>
      <c r="E181" s="6" t="s">
        <v>763</v>
      </c>
      <c r="F181" s="6" t="s">
        <v>67</v>
      </c>
      <c r="G181" s="6" t="s">
        <v>51</v>
      </c>
      <c r="H181" s="6" t="s">
        <v>72</v>
      </c>
      <c r="I181" s="6" t="s">
        <v>52</v>
      </c>
      <c r="J181" s="6" t="s">
        <v>67</v>
      </c>
      <c r="K181" s="6" t="s">
        <v>61</v>
      </c>
      <c r="L181" s="6" t="s">
        <v>67</v>
      </c>
      <c r="M181" s="6" t="s">
        <v>54</v>
      </c>
      <c r="N181" s="6" t="s">
        <v>128</v>
      </c>
    </row>
    <row r="182" customFormat="false" ht="43.25" hidden="false" customHeight="false" outlineLevel="0" collapsed="false">
      <c r="A182" s="6" t="s">
        <v>764</v>
      </c>
      <c r="B182" s="6" t="s">
        <v>23</v>
      </c>
      <c r="C182" s="6" t="s">
        <v>279</v>
      </c>
      <c r="D182" s="6" t="s">
        <v>765</v>
      </c>
      <c r="E182" s="6" t="s">
        <v>766</v>
      </c>
      <c r="F182" s="6" t="s">
        <v>72</v>
      </c>
      <c r="G182" s="6" t="s">
        <v>52</v>
      </c>
      <c r="H182" s="6" t="s">
        <v>72</v>
      </c>
      <c r="I182" s="6" t="s">
        <v>53</v>
      </c>
      <c r="J182" s="6" t="s">
        <v>72</v>
      </c>
      <c r="K182" s="6" t="s">
        <v>51</v>
      </c>
      <c r="L182" s="6" t="s">
        <v>72</v>
      </c>
      <c r="M182" s="6" t="s">
        <v>54</v>
      </c>
      <c r="N182" s="6" t="s">
        <v>73</v>
      </c>
    </row>
    <row r="183" customFormat="false" ht="32.8" hidden="false" customHeight="false" outlineLevel="0" collapsed="false">
      <c r="A183" s="6" t="s">
        <v>767</v>
      </c>
      <c r="B183" s="6" t="s">
        <v>23</v>
      </c>
      <c r="C183" s="6" t="s">
        <v>279</v>
      </c>
      <c r="D183" s="6" t="s">
        <v>768</v>
      </c>
      <c r="E183" s="6" t="s">
        <v>769</v>
      </c>
      <c r="F183" s="6" t="s">
        <v>72</v>
      </c>
      <c r="G183" s="6" t="s">
        <v>52</v>
      </c>
      <c r="H183" s="6" t="s">
        <v>72</v>
      </c>
      <c r="I183" s="6" t="s">
        <v>61</v>
      </c>
      <c r="J183" s="6" t="s">
        <v>72</v>
      </c>
      <c r="K183" s="6" t="s">
        <v>53</v>
      </c>
      <c r="L183" s="6" t="s">
        <v>72</v>
      </c>
      <c r="M183" s="6" t="s">
        <v>54</v>
      </c>
      <c r="N183" s="6" t="s">
        <v>73</v>
      </c>
    </row>
    <row r="184" customFormat="false" ht="53.7" hidden="false" customHeight="false" outlineLevel="0" collapsed="false">
      <c r="A184" s="6" t="s">
        <v>770</v>
      </c>
      <c r="B184" s="6" t="s">
        <v>23</v>
      </c>
      <c r="C184" s="6" t="s">
        <v>771</v>
      </c>
      <c r="D184" s="6" t="s">
        <v>772</v>
      </c>
      <c r="E184" s="6" t="s">
        <v>773</v>
      </c>
      <c r="F184" s="6" t="s">
        <v>60</v>
      </c>
      <c r="G184" s="6" t="s">
        <v>53</v>
      </c>
      <c r="H184" s="6" t="s">
        <v>72</v>
      </c>
      <c r="I184" s="6" t="s">
        <v>52</v>
      </c>
      <c r="J184" s="6" t="s">
        <v>50</v>
      </c>
      <c r="K184" s="6" t="s">
        <v>52</v>
      </c>
      <c r="L184" s="6" t="s">
        <v>50</v>
      </c>
      <c r="M184" s="6" t="s">
        <v>54</v>
      </c>
      <c r="N184" s="6" t="s">
        <v>55</v>
      </c>
    </row>
    <row r="185" customFormat="false" ht="32.8" hidden="false" customHeight="false" outlineLevel="0" collapsed="false">
      <c r="A185" s="6" t="s">
        <v>774</v>
      </c>
      <c r="B185" s="6" t="s">
        <v>23</v>
      </c>
      <c r="C185" s="6" t="s">
        <v>279</v>
      </c>
      <c r="D185" s="6" t="s">
        <v>775</v>
      </c>
      <c r="E185" s="6" t="s">
        <v>776</v>
      </c>
      <c r="F185" s="6" t="s">
        <v>72</v>
      </c>
      <c r="G185" s="6" t="s">
        <v>52</v>
      </c>
      <c r="H185" s="6" t="s">
        <v>72</v>
      </c>
      <c r="I185" s="6" t="s">
        <v>53</v>
      </c>
      <c r="J185" s="6" t="s">
        <v>72</v>
      </c>
      <c r="K185" s="6" t="s">
        <v>51</v>
      </c>
      <c r="L185" s="6" t="s">
        <v>72</v>
      </c>
      <c r="M185" s="6" t="s">
        <v>54</v>
      </c>
      <c r="N185" s="6" t="s">
        <v>73</v>
      </c>
    </row>
    <row r="186" customFormat="false" ht="43.25" hidden="false" customHeight="false" outlineLevel="0" collapsed="false">
      <c r="A186" s="6" t="s">
        <v>777</v>
      </c>
      <c r="B186" s="6" t="s">
        <v>23</v>
      </c>
      <c r="C186" s="6" t="s">
        <v>778</v>
      </c>
      <c r="D186" s="6" t="s">
        <v>779</v>
      </c>
      <c r="E186" s="6" t="s">
        <v>780</v>
      </c>
      <c r="F186" s="6" t="s">
        <v>50</v>
      </c>
      <c r="G186" s="6" t="s">
        <v>53</v>
      </c>
      <c r="H186" s="6" t="s">
        <v>50</v>
      </c>
      <c r="I186" s="6" t="s">
        <v>52</v>
      </c>
      <c r="J186" s="6" t="s">
        <v>50</v>
      </c>
      <c r="K186" s="6" t="s">
        <v>61</v>
      </c>
      <c r="L186" s="6" t="s">
        <v>50</v>
      </c>
      <c r="M186" s="6" t="s">
        <v>54</v>
      </c>
      <c r="N186" s="6" t="s">
        <v>55</v>
      </c>
    </row>
    <row r="187" customFormat="false" ht="53.7" hidden="false" customHeight="false" outlineLevel="0" collapsed="false">
      <c r="A187" s="6" t="s">
        <v>781</v>
      </c>
      <c r="B187" s="6" t="s">
        <v>23</v>
      </c>
      <c r="C187" s="6" t="s">
        <v>782</v>
      </c>
      <c r="D187" s="6" t="s">
        <v>783</v>
      </c>
      <c r="E187" s="6" t="s">
        <v>784</v>
      </c>
      <c r="F187" s="6" t="s">
        <v>60</v>
      </c>
      <c r="G187" s="6" t="s">
        <v>53</v>
      </c>
      <c r="H187" s="6" t="s">
        <v>72</v>
      </c>
      <c r="I187" s="6" t="s">
        <v>52</v>
      </c>
      <c r="J187" s="6" t="s">
        <v>72</v>
      </c>
      <c r="K187" s="6" t="s">
        <v>61</v>
      </c>
      <c r="L187" s="6" t="s">
        <v>72</v>
      </c>
      <c r="M187" s="6" t="s">
        <v>54</v>
      </c>
      <c r="N187" s="6" t="s">
        <v>73</v>
      </c>
    </row>
    <row r="188" customFormat="false" ht="53.7" hidden="false" customHeight="false" outlineLevel="0" collapsed="false">
      <c r="A188" s="6" t="s">
        <v>785</v>
      </c>
      <c r="B188" s="6" t="s">
        <v>23</v>
      </c>
      <c r="C188" s="6" t="s">
        <v>782</v>
      </c>
      <c r="D188" s="6" t="s">
        <v>786</v>
      </c>
      <c r="E188" s="6" t="s">
        <v>787</v>
      </c>
      <c r="F188" s="6" t="s">
        <v>67</v>
      </c>
      <c r="G188" s="6" t="s">
        <v>53</v>
      </c>
      <c r="H188" s="6" t="s">
        <v>67</v>
      </c>
      <c r="I188" s="6" t="s">
        <v>61</v>
      </c>
      <c r="J188" s="6" t="s">
        <v>67</v>
      </c>
      <c r="K188" s="6" t="s">
        <v>52</v>
      </c>
      <c r="L188" s="6" t="s">
        <v>67</v>
      </c>
      <c r="M188" s="6" t="s">
        <v>54</v>
      </c>
      <c r="N188" s="6" t="s">
        <v>128</v>
      </c>
    </row>
    <row r="189" customFormat="false" ht="43.25" hidden="false" customHeight="false" outlineLevel="0" collapsed="false">
      <c r="A189" s="6" t="s">
        <v>788</v>
      </c>
      <c r="B189" s="6" t="s">
        <v>23</v>
      </c>
      <c r="C189" s="6" t="s">
        <v>789</v>
      </c>
      <c r="D189" s="6" t="s">
        <v>790</v>
      </c>
      <c r="E189" s="6" t="s">
        <v>791</v>
      </c>
      <c r="F189" s="6" t="s">
        <v>50</v>
      </c>
      <c r="G189" s="6" t="s">
        <v>53</v>
      </c>
      <c r="H189" s="6" t="s">
        <v>50</v>
      </c>
      <c r="I189" s="6" t="s">
        <v>52</v>
      </c>
      <c r="J189" s="6" t="s">
        <v>50</v>
      </c>
      <c r="K189" s="6" t="s">
        <v>51</v>
      </c>
      <c r="L189" s="6" t="s">
        <v>50</v>
      </c>
      <c r="M189" s="6" t="s">
        <v>54</v>
      </c>
      <c r="N189" s="6" t="s">
        <v>55</v>
      </c>
    </row>
    <row r="190" customFormat="false" ht="53.7" hidden="false" customHeight="false" outlineLevel="0" collapsed="false">
      <c r="A190" s="6" t="s">
        <v>792</v>
      </c>
      <c r="B190" s="6" t="s">
        <v>23</v>
      </c>
      <c r="C190" s="6" t="s">
        <v>793</v>
      </c>
      <c r="D190" s="6" t="s">
        <v>794</v>
      </c>
      <c r="E190" s="6" t="s">
        <v>795</v>
      </c>
      <c r="F190" s="6" t="s">
        <v>60</v>
      </c>
      <c r="G190" s="6" t="s">
        <v>53</v>
      </c>
      <c r="H190" s="6" t="s">
        <v>72</v>
      </c>
      <c r="I190" s="6" t="s">
        <v>52</v>
      </c>
      <c r="J190" s="6" t="s">
        <v>67</v>
      </c>
      <c r="K190" s="6" t="s">
        <v>61</v>
      </c>
      <c r="L190" s="6" t="s">
        <v>67</v>
      </c>
      <c r="M190" s="6" t="s">
        <v>54</v>
      </c>
      <c r="N190" s="6" t="s">
        <v>128</v>
      </c>
    </row>
    <row r="191" customFormat="false" ht="43.25" hidden="false" customHeight="false" outlineLevel="0" collapsed="false">
      <c r="A191" s="6" t="s">
        <v>796</v>
      </c>
      <c r="B191" s="6" t="s">
        <v>23</v>
      </c>
      <c r="C191" s="6" t="s">
        <v>797</v>
      </c>
      <c r="D191" s="6" t="s">
        <v>798</v>
      </c>
      <c r="E191" s="6" t="s">
        <v>799</v>
      </c>
      <c r="F191" s="6" t="s">
        <v>60</v>
      </c>
      <c r="G191" s="6" t="s">
        <v>53</v>
      </c>
      <c r="H191" s="6" t="s">
        <v>72</v>
      </c>
      <c r="I191" s="6" t="s">
        <v>52</v>
      </c>
      <c r="J191" s="6" t="s">
        <v>72</v>
      </c>
      <c r="K191" s="6" t="s">
        <v>61</v>
      </c>
      <c r="L191" s="6" t="s">
        <v>72</v>
      </c>
      <c r="M191" s="6" t="s">
        <v>54</v>
      </c>
      <c r="N191" s="6" t="s">
        <v>73</v>
      </c>
    </row>
    <row r="192" customFormat="false" ht="53.7" hidden="false" customHeight="false" outlineLevel="0" collapsed="false">
      <c r="A192" s="6" t="s">
        <v>800</v>
      </c>
      <c r="B192" s="6" t="s">
        <v>23</v>
      </c>
      <c r="C192" s="6" t="s">
        <v>801</v>
      </c>
      <c r="D192" s="6" t="s">
        <v>802</v>
      </c>
      <c r="E192" s="6" t="s">
        <v>803</v>
      </c>
      <c r="F192" s="6" t="s">
        <v>60</v>
      </c>
      <c r="G192" s="6" t="s">
        <v>53</v>
      </c>
      <c r="H192" s="6" t="s">
        <v>72</v>
      </c>
      <c r="I192" s="6" t="s">
        <v>52</v>
      </c>
      <c r="J192" s="6" t="s">
        <v>60</v>
      </c>
      <c r="K192" s="6" t="s">
        <v>61</v>
      </c>
      <c r="L192" s="6" t="s">
        <v>60</v>
      </c>
      <c r="M192" s="6" t="s">
        <v>54</v>
      </c>
      <c r="N192" s="6" t="s">
        <v>62</v>
      </c>
    </row>
    <row r="193" customFormat="false" ht="53.7" hidden="false" customHeight="false" outlineLevel="0" collapsed="false">
      <c r="A193" s="6" t="s">
        <v>804</v>
      </c>
      <c r="B193" s="6" t="s">
        <v>23</v>
      </c>
      <c r="C193" s="6" t="s">
        <v>805</v>
      </c>
      <c r="D193" s="6" t="s">
        <v>806</v>
      </c>
      <c r="E193" s="6" t="s">
        <v>807</v>
      </c>
      <c r="F193" s="6" t="s">
        <v>60</v>
      </c>
      <c r="G193" s="6" t="s">
        <v>53</v>
      </c>
      <c r="H193" s="6" t="s">
        <v>72</v>
      </c>
      <c r="I193" s="6" t="s">
        <v>61</v>
      </c>
      <c r="J193" s="6" t="s">
        <v>60</v>
      </c>
      <c r="K193" s="6" t="s">
        <v>51</v>
      </c>
      <c r="L193" s="6" t="s">
        <v>60</v>
      </c>
      <c r="M193" s="6" t="s">
        <v>54</v>
      </c>
      <c r="N193" s="6" t="s">
        <v>62</v>
      </c>
    </row>
    <row r="194" customFormat="false" ht="64.15" hidden="false" customHeight="false" outlineLevel="0" collapsed="false">
      <c r="A194" s="6" t="s">
        <v>808</v>
      </c>
      <c r="B194" s="6" t="s">
        <v>23</v>
      </c>
      <c r="C194" s="6" t="s">
        <v>809</v>
      </c>
      <c r="D194" s="6" t="s">
        <v>810</v>
      </c>
      <c r="E194" s="6" t="s">
        <v>811</v>
      </c>
      <c r="F194" s="6" t="s">
        <v>60</v>
      </c>
      <c r="G194" s="6" t="s">
        <v>53</v>
      </c>
      <c r="H194" s="6" t="s">
        <v>60</v>
      </c>
      <c r="I194" s="6" t="s">
        <v>61</v>
      </c>
      <c r="J194" s="6" t="s">
        <v>50</v>
      </c>
      <c r="K194" s="6" t="s">
        <v>52</v>
      </c>
      <c r="L194" s="6" t="s">
        <v>50</v>
      </c>
      <c r="M194" s="6" t="s">
        <v>54</v>
      </c>
      <c r="N194" s="6" t="s">
        <v>55</v>
      </c>
    </row>
    <row r="195" customFormat="false" ht="43.25" hidden="false" customHeight="false" outlineLevel="0" collapsed="false">
      <c r="A195" s="6" t="s">
        <v>812</v>
      </c>
      <c r="B195" s="6" t="s">
        <v>23</v>
      </c>
      <c r="C195" s="6" t="s">
        <v>813</v>
      </c>
      <c r="D195" s="6" t="s">
        <v>814</v>
      </c>
      <c r="E195" s="6" t="s">
        <v>815</v>
      </c>
      <c r="F195" s="6" t="s">
        <v>50</v>
      </c>
      <c r="G195" s="6" t="s">
        <v>53</v>
      </c>
      <c r="H195" s="6" t="s">
        <v>72</v>
      </c>
      <c r="I195" s="6" t="s">
        <v>52</v>
      </c>
      <c r="J195" s="6" t="s">
        <v>60</v>
      </c>
      <c r="K195" s="6" t="s">
        <v>61</v>
      </c>
      <c r="L195" s="6" t="s">
        <v>60</v>
      </c>
      <c r="M195" s="6" t="s">
        <v>54</v>
      </c>
      <c r="N195" s="6" t="s">
        <v>62</v>
      </c>
    </row>
    <row r="196" customFormat="false" ht="64.15" hidden="false" customHeight="false" outlineLevel="0" collapsed="false">
      <c r="A196" s="6" t="s">
        <v>816</v>
      </c>
      <c r="B196" s="6" t="s">
        <v>23</v>
      </c>
      <c r="C196" s="6" t="s">
        <v>817</v>
      </c>
      <c r="D196" s="6" t="s">
        <v>818</v>
      </c>
      <c r="E196" s="6" t="s">
        <v>819</v>
      </c>
      <c r="F196" s="6" t="s">
        <v>60</v>
      </c>
      <c r="G196" s="6" t="s">
        <v>53</v>
      </c>
      <c r="H196" s="6" t="s">
        <v>72</v>
      </c>
      <c r="I196" s="6" t="s">
        <v>61</v>
      </c>
      <c r="J196" s="6" t="s">
        <v>60</v>
      </c>
      <c r="K196" s="6" t="s">
        <v>51</v>
      </c>
      <c r="L196" s="6" t="s">
        <v>60</v>
      </c>
      <c r="M196" s="6" t="s">
        <v>54</v>
      </c>
      <c r="N196" s="6" t="s">
        <v>62</v>
      </c>
    </row>
    <row r="197" customFormat="false" ht="32.8" hidden="false" customHeight="false" outlineLevel="0" collapsed="false">
      <c r="A197" s="6" t="s">
        <v>820</v>
      </c>
      <c r="B197" s="6" t="s">
        <v>24</v>
      </c>
      <c r="C197" s="6" t="s">
        <v>821</v>
      </c>
      <c r="D197" s="6" t="s">
        <v>822</v>
      </c>
      <c r="E197" s="6" t="s">
        <v>823</v>
      </c>
      <c r="F197" s="6" t="s">
        <v>60</v>
      </c>
      <c r="G197" s="6" t="s">
        <v>53</v>
      </c>
      <c r="H197" s="6" t="s">
        <v>72</v>
      </c>
      <c r="I197" s="6" t="s">
        <v>52</v>
      </c>
      <c r="J197" s="6" t="s">
        <v>72</v>
      </c>
      <c r="K197" s="6" t="s">
        <v>61</v>
      </c>
      <c r="L197" s="6" t="s">
        <v>72</v>
      </c>
      <c r="M197" s="6" t="s">
        <v>54</v>
      </c>
      <c r="N197" s="6" t="s">
        <v>73</v>
      </c>
    </row>
    <row r="198" customFormat="false" ht="22.35" hidden="false" customHeight="false" outlineLevel="0" collapsed="false">
      <c r="A198" s="6" t="s">
        <v>824</v>
      </c>
      <c r="B198" s="6" t="s">
        <v>23</v>
      </c>
      <c r="C198" s="6" t="s">
        <v>825</v>
      </c>
      <c r="D198" s="6" t="s">
        <v>826</v>
      </c>
      <c r="E198" s="6" t="s">
        <v>827</v>
      </c>
      <c r="F198" s="6" t="s">
        <v>60</v>
      </c>
      <c r="G198" s="6" t="s">
        <v>53</v>
      </c>
      <c r="H198" s="6" t="s">
        <v>72</v>
      </c>
      <c r="I198" s="6" t="s">
        <v>52</v>
      </c>
      <c r="J198" s="6" t="s">
        <v>60</v>
      </c>
      <c r="K198" s="6" t="s">
        <v>61</v>
      </c>
      <c r="L198" s="6" t="s">
        <v>60</v>
      </c>
      <c r="M198" s="6" t="s">
        <v>54</v>
      </c>
      <c r="N198" s="6" t="s">
        <v>62</v>
      </c>
    </row>
    <row r="199" customFormat="false" ht="53.7" hidden="false" customHeight="false" outlineLevel="0" collapsed="false">
      <c r="A199" s="6" t="s">
        <v>828</v>
      </c>
      <c r="B199" s="6" t="s">
        <v>23</v>
      </c>
      <c r="C199" s="6" t="s">
        <v>829</v>
      </c>
      <c r="D199" s="6" t="s">
        <v>830</v>
      </c>
      <c r="E199" s="6" t="s">
        <v>831</v>
      </c>
      <c r="F199" s="6" t="s">
        <v>60</v>
      </c>
      <c r="G199" s="6" t="s">
        <v>53</v>
      </c>
      <c r="H199" s="6" t="s">
        <v>60</v>
      </c>
      <c r="I199" s="6" t="s">
        <v>61</v>
      </c>
      <c r="J199" s="6" t="s">
        <v>60</v>
      </c>
      <c r="K199" s="6" t="s">
        <v>51</v>
      </c>
      <c r="L199" s="6" t="s">
        <v>60</v>
      </c>
      <c r="M199" s="6" t="s">
        <v>54</v>
      </c>
      <c r="N199" s="6" t="s">
        <v>62</v>
      </c>
    </row>
    <row r="200" customFormat="false" ht="53.7" hidden="false" customHeight="false" outlineLevel="0" collapsed="false">
      <c r="A200" s="6" t="s">
        <v>832</v>
      </c>
      <c r="B200" s="6" t="s">
        <v>23</v>
      </c>
      <c r="C200" s="6" t="s">
        <v>833</v>
      </c>
      <c r="D200" s="6" t="s">
        <v>830</v>
      </c>
      <c r="E200" s="6" t="s">
        <v>834</v>
      </c>
      <c r="F200" s="6" t="s">
        <v>60</v>
      </c>
      <c r="G200" s="6" t="s">
        <v>53</v>
      </c>
      <c r="H200" s="6" t="s">
        <v>60</v>
      </c>
      <c r="I200" s="6" t="s">
        <v>61</v>
      </c>
      <c r="J200" s="6" t="s">
        <v>72</v>
      </c>
      <c r="K200" s="6" t="s">
        <v>52</v>
      </c>
      <c r="L200" s="6" t="s">
        <v>72</v>
      </c>
      <c r="M200" s="6" t="s">
        <v>54</v>
      </c>
      <c r="N200" s="6" t="s">
        <v>73</v>
      </c>
    </row>
    <row r="201" customFormat="false" ht="22.35" hidden="false" customHeight="false" outlineLevel="0" collapsed="false">
      <c r="A201" s="6" t="s">
        <v>835</v>
      </c>
      <c r="B201" s="6" t="s">
        <v>23</v>
      </c>
      <c r="C201" s="6" t="s">
        <v>836</v>
      </c>
      <c r="D201" s="6" t="s">
        <v>837</v>
      </c>
      <c r="E201" s="6" t="s">
        <v>838</v>
      </c>
      <c r="F201" s="6" t="s">
        <v>60</v>
      </c>
      <c r="G201" s="6" t="s">
        <v>53</v>
      </c>
      <c r="H201" s="6" t="s">
        <v>67</v>
      </c>
      <c r="I201" s="6" t="s">
        <v>52</v>
      </c>
      <c r="J201" s="6" t="s">
        <v>60</v>
      </c>
      <c r="K201" s="6" t="s">
        <v>61</v>
      </c>
      <c r="L201" s="6" t="s">
        <v>60</v>
      </c>
      <c r="M201" s="6" t="s">
        <v>54</v>
      </c>
      <c r="N201" s="6" t="s">
        <v>62</v>
      </c>
    </row>
    <row r="202" customFormat="false" ht="43.25" hidden="false" customHeight="false" outlineLevel="0" collapsed="false">
      <c r="A202" s="6" t="s">
        <v>839</v>
      </c>
      <c r="B202" s="6" t="s">
        <v>24</v>
      </c>
      <c r="C202" s="6" t="s">
        <v>840</v>
      </c>
      <c r="D202" s="6" t="s">
        <v>841</v>
      </c>
      <c r="E202" s="6" t="s">
        <v>842</v>
      </c>
      <c r="F202" s="6" t="s">
        <v>60</v>
      </c>
      <c r="G202" s="6" t="s">
        <v>53</v>
      </c>
      <c r="H202" s="6" t="s">
        <v>60</v>
      </c>
      <c r="I202" s="6" t="s">
        <v>61</v>
      </c>
      <c r="J202" s="6" t="s">
        <v>60</v>
      </c>
      <c r="K202" s="6" t="s">
        <v>51</v>
      </c>
      <c r="L202" s="6" t="s">
        <v>60</v>
      </c>
      <c r="M202" s="6" t="s">
        <v>54</v>
      </c>
      <c r="N202" s="6" t="s">
        <v>62</v>
      </c>
    </row>
    <row r="203" customFormat="false" ht="74.6" hidden="false" customHeight="false" outlineLevel="0" collapsed="false">
      <c r="A203" s="6" t="s">
        <v>843</v>
      </c>
      <c r="B203" s="6" t="s">
        <v>24</v>
      </c>
      <c r="C203" s="6" t="s">
        <v>844</v>
      </c>
      <c r="D203" s="6" t="s">
        <v>845</v>
      </c>
      <c r="E203" s="6" t="s">
        <v>846</v>
      </c>
      <c r="F203" s="6" t="s">
        <v>50</v>
      </c>
      <c r="G203" s="6" t="s">
        <v>53</v>
      </c>
      <c r="H203" s="6" t="s">
        <v>50</v>
      </c>
      <c r="I203" s="6" t="s">
        <v>51</v>
      </c>
      <c r="J203" s="6" t="s">
        <v>50</v>
      </c>
      <c r="K203" s="6" t="s">
        <v>52</v>
      </c>
      <c r="L203" s="6" t="s">
        <v>50</v>
      </c>
      <c r="M203" s="6" t="s">
        <v>54</v>
      </c>
      <c r="N203" s="6" t="s">
        <v>55</v>
      </c>
    </row>
    <row r="204" customFormat="false" ht="53.7" hidden="false" customHeight="false" outlineLevel="0" collapsed="false">
      <c r="A204" s="6" t="s">
        <v>847</v>
      </c>
      <c r="B204" s="6" t="s">
        <v>23</v>
      </c>
      <c r="C204" s="6" t="s">
        <v>848</v>
      </c>
      <c r="D204" s="6" t="s">
        <v>849</v>
      </c>
      <c r="E204" s="6" t="s">
        <v>850</v>
      </c>
      <c r="F204" s="6" t="s">
        <v>60</v>
      </c>
      <c r="G204" s="6" t="s">
        <v>53</v>
      </c>
      <c r="H204" s="6" t="s">
        <v>50</v>
      </c>
      <c r="I204" s="6" t="s">
        <v>52</v>
      </c>
      <c r="J204" s="6" t="s">
        <v>60</v>
      </c>
      <c r="K204" s="6" t="s">
        <v>61</v>
      </c>
      <c r="L204" s="6" t="s">
        <v>60</v>
      </c>
      <c r="M204" s="6" t="s">
        <v>54</v>
      </c>
      <c r="N204" s="6" t="s">
        <v>62</v>
      </c>
    </row>
    <row r="205" customFormat="false" ht="43.25" hidden="false" customHeight="false" outlineLevel="0" collapsed="false">
      <c r="A205" s="6" t="s">
        <v>851</v>
      </c>
      <c r="B205" s="6" t="s">
        <v>24</v>
      </c>
      <c r="C205" s="6" t="s">
        <v>852</v>
      </c>
      <c r="D205" s="6" t="s">
        <v>853</v>
      </c>
      <c r="E205" s="6" t="s">
        <v>854</v>
      </c>
      <c r="F205" s="6" t="s">
        <v>85</v>
      </c>
      <c r="G205" s="6" t="s">
        <v>52</v>
      </c>
      <c r="H205" s="6" t="s">
        <v>85</v>
      </c>
      <c r="I205" s="6" t="s">
        <v>51</v>
      </c>
      <c r="J205" s="6" t="s">
        <v>85</v>
      </c>
      <c r="K205" s="6" t="s">
        <v>53</v>
      </c>
      <c r="L205" s="6" t="s">
        <v>85</v>
      </c>
      <c r="M205" s="6" t="s">
        <v>54</v>
      </c>
      <c r="N205" s="6" t="s">
        <v>855</v>
      </c>
    </row>
    <row r="206" customFormat="false" ht="32.8" hidden="false" customHeight="false" outlineLevel="0" collapsed="false">
      <c r="A206" s="6" t="s">
        <v>856</v>
      </c>
      <c r="B206" s="6" t="s">
        <v>24</v>
      </c>
      <c r="C206" s="6" t="s">
        <v>857</v>
      </c>
      <c r="D206" s="6" t="s">
        <v>858</v>
      </c>
      <c r="E206" s="6" t="s">
        <v>859</v>
      </c>
      <c r="F206" s="6" t="s">
        <v>85</v>
      </c>
      <c r="G206" s="6" t="s">
        <v>52</v>
      </c>
      <c r="H206" s="6" t="s">
        <v>85</v>
      </c>
      <c r="I206" s="6" t="s">
        <v>51</v>
      </c>
      <c r="J206" s="6" t="s">
        <v>85</v>
      </c>
      <c r="K206" s="6" t="s">
        <v>53</v>
      </c>
      <c r="L206" s="6" t="s">
        <v>85</v>
      </c>
      <c r="M206" s="6" t="s">
        <v>54</v>
      </c>
      <c r="N206" s="6" t="s">
        <v>860</v>
      </c>
    </row>
    <row r="207" customFormat="false" ht="32.8" hidden="false" customHeight="false" outlineLevel="0" collapsed="false">
      <c r="A207" s="6" t="s">
        <v>861</v>
      </c>
      <c r="B207" s="6" t="s">
        <v>24</v>
      </c>
      <c r="C207" s="6" t="s">
        <v>862</v>
      </c>
      <c r="D207" s="6" t="s">
        <v>863</v>
      </c>
      <c r="E207" s="6" t="s">
        <v>864</v>
      </c>
      <c r="F207" s="6" t="s">
        <v>85</v>
      </c>
      <c r="G207" s="6" t="s">
        <v>52</v>
      </c>
      <c r="H207" s="6" t="s">
        <v>85</v>
      </c>
      <c r="I207" s="6" t="s">
        <v>61</v>
      </c>
      <c r="J207" s="6" t="s">
        <v>85</v>
      </c>
      <c r="K207" s="6" t="s">
        <v>53</v>
      </c>
      <c r="L207" s="6" t="s">
        <v>85</v>
      </c>
      <c r="M207" s="6" t="s">
        <v>54</v>
      </c>
      <c r="N207" s="6" t="s">
        <v>865</v>
      </c>
    </row>
    <row r="208" customFormat="false" ht="32.8" hidden="false" customHeight="false" outlineLevel="0" collapsed="false">
      <c r="A208" s="6" t="s">
        <v>866</v>
      </c>
      <c r="B208" s="6" t="s">
        <v>24</v>
      </c>
      <c r="C208" s="6" t="s">
        <v>867</v>
      </c>
      <c r="D208" s="6" t="s">
        <v>868</v>
      </c>
      <c r="E208" s="6" t="s">
        <v>869</v>
      </c>
      <c r="F208" s="6" t="s">
        <v>85</v>
      </c>
      <c r="G208" s="6" t="s">
        <v>52</v>
      </c>
      <c r="H208" s="6" t="s">
        <v>85</v>
      </c>
      <c r="I208" s="6" t="s">
        <v>61</v>
      </c>
      <c r="J208" s="6" t="s">
        <v>85</v>
      </c>
      <c r="K208" s="6" t="s">
        <v>53</v>
      </c>
      <c r="L208" s="6" t="s">
        <v>85</v>
      </c>
      <c r="M208" s="6" t="s">
        <v>54</v>
      </c>
      <c r="N208" s="6" t="s">
        <v>870</v>
      </c>
    </row>
    <row r="209" customFormat="false" ht="32.8" hidden="false" customHeight="false" outlineLevel="0" collapsed="false">
      <c r="A209" s="6" t="s">
        <v>871</v>
      </c>
      <c r="B209" s="6" t="s">
        <v>24</v>
      </c>
      <c r="C209" s="6" t="s">
        <v>872</v>
      </c>
      <c r="D209" s="6" t="s">
        <v>873</v>
      </c>
      <c r="E209" s="6" t="s">
        <v>874</v>
      </c>
      <c r="F209" s="6" t="s">
        <v>85</v>
      </c>
      <c r="G209" s="6" t="s">
        <v>52</v>
      </c>
      <c r="H209" s="6" t="s">
        <v>85</v>
      </c>
      <c r="I209" s="6" t="s">
        <v>51</v>
      </c>
      <c r="J209" s="6" t="s">
        <v>85</v>
      </c>
      <c r="K209" s="6" t="s">
        <v>53</v>
      </c>
      <c r="L209" s="6" t="s">
        <v>85</v>
      </c>
      <c r="M209" s="6" t="s">
        <v>54</v>
      </c>
      <c r="N209" s="6" t="s">
        <v>875</v>
      </c>
    </row>
  </sheetData>
  <autoFilter ref="A1:N20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30"/>
    <col collapsed="false" customWidth="true" hidden="false" outlineLevel="0" max="4" min="4" style="0" width="44"/>
    <col collapsed="false" customWidth="true" hidden="false" outlineLevel="0" max="6" min="5" style="0" width="30"/>
    <col collapsed="false" customWidth="true" hidden="false" outlineLevel="0" max="8" min="7" style="0" width="40"/>
    <col collapsed="false" customWidth="true" hidden="false" outlineLevel="0" max="10" min="9" style="0" width="44"/>
    <col collapsed="false" customWidth="true" hidden="false" outlineLevel="0" max="11" min="11" style="0" width="20"/>
  </cols>
  <sheetData>
    <row r="1" customFormat="false" ht="22.35" hidden="false" customHeight="false" outlineLevel="0" collapsed="false">
      <c r="A1" s="5" t="s">
        <v>876</v>
      </c>
      <c r="B1" s="5" t="s">
        <v>877</v>
      </c>
      <c r="C1" s="5" t="s">
        <v>36</v>
      </c>
      <c r="D1" s="5" t="s">
        <v>37</v>
      </c>
      <c r="E1" s="5" t="s">
        <v>878</v>
      </c>
      <c r="F1" s="5" t="s">
        <v>879</v>
      </c>
      <c r="G1" s="5" t="s">
        <v>880</v>
      </c>
      <c r="H1" s="5" t="s">
        <v>881</v>
      </c>
      <c r="I1" s="5" t="s">
        <v>882</v>
      </c>
      <c r="J1" s="5" t="s">
        <v>883</v>
      </c>
      <c r="K1" s="5" t="s">
        <v>884</v>
      </c>
    </row>
    <row r="2" customFormat="false" ht="53.7" hidden="false" customHeight="false" outlineLevel="0" collapsed="false">
      <c r="A2" s="6" t="s">
        <v>885</v>
      </c>
      <c r="B2" s="6" t="s">
        <v>484</v>
      </c>
      <c r="C2" s="6" t="s">
        <v>486</v>
      </c>
      <c r="D2" s="6" t="s">
        <v>487</v>
      </c>
      <c r="E2" s="6" t="s">
        <v>485</v>
      </c>
      <c r="F2" s="6" t="s">
        <v>886</v>
      </c>
      <c r="G2" s="6" t="s">
        <v>887</v>
      </c>
      <c r="H2" s="6" t="s">
        <v>888</v>
      </c>
      <c r="I2" s="6" t="s">
        <v>889</v>
      </c>
      <c r="J2" s="6" t="s">
        <v>890</v>
      </c>
      <c r="K2" s="6" t="s">
        <v>85</v>
      </c>
    </row>
    <row r="3" customFormat="false" ht="53.7" hidden="false" customHeight="false" outlineLevel="0" collapsed="false">
      <c r="A3" s="6" t="s">
        <v>891</v>
      </c>
      <c r="B3" s="6" t="s">
        <v>306</v>
      </c>
      <c r="C3" s="6" t="s">
        <v>308</v>
      </c>
      <c r="D3" s="6" t="s">
        <v>309</v>
      </c>
      <c r="E3" s="6" t="s">
        <v>307</v>
      </c>
      <c r="F3" s="6" t="s">
        <v>892</v>
      </c>
      <c r="G3" s="6" t="s">
        <v>893</v>
      </c>
      <c r="H3" s="6" t="s">
        <v>894</v>
      </c>
      <c r="I3" s="6" t="s">
        <v>895</v>
      </c>
      <c r="J3" s="6" t="s">
        <v>896</v>
      </c>
      <c r="K3" s="6" t="s">
        <v>85</v>
      </c>
    </row>
    <row r="4" customFormat="false" ht="74.6" hidden="false" customHeight="false" outlineLevel="0" collapsed="false">
      <c r="A4" s="6" t="s">
        <v>897</v>
      </c>
      <c r="B4" s="6" t="s">
        <v>359</v>
      </c>
      <c r="C4" s="6" t="s">
        <v>360</v>
      </c>
      <c r="D4" s="6" t="s">
        <v>361</v>
      </c>
      <c r="E4" s="6" t="s">
        <v>279</v>
      </c>
      <c r="F4" s="6" t="s">
        <v>898</v>
      </c>
      <c r="G4" s="6" t="s">
        <v>899</v>
      </c>
      <c r="H4" s="6" t="s">
        <v>900</v>
      </c>
      <c r="I4" s="6" t="s">
        <v>901</v>
      </c>
      <c r="J4" s="6" t="s">
        <v>902</v>
      </c>
      <c r="K4" s="6" t="s">
        <v>85</v>
      </c>
    </row>
    <row r="5" customFormat="false" ht="64.15" hidden="false" customHeight="false" outlineLevel="0" collapsed="false">
      <c r="A5" s="6" t="s">
        <v>903</v>
      </c>
      <c r="B5" s="6" t="s">
        <v>320</v>
      </c>
      <c r="C5" s="6" t="s">
        <v>322</v>
      </c>
      <c r="D5" s="6" t="s">
        <v>323</v>
      </c>
      <c r="E5" s="6" t="s">
        <v>321</v>
      </c>
      <c r="F5" s="6" t="s">
        <v>904</v>
      </c>
      <c r="G5" s="6" t="s">
        <v>905</v>
      </c>
      <c r="H5" s="6" t="s">
        <v>906</v>
      </c>
      <c r="I5" s="6" t="s">
        <v>907</v>
      </c>
      <c r="J5" s="6" t="s">
        <v>908</v>
      </c>
      <c r="K5" s="6" t="s">
        <v>85</v>
      </c>
    </row>
    <row r="6" customFormat="false" ht="32.8" hidden="false" customHeight="false" outlineLevel="0" collapsed="false">
      <c r="A6" s="6" t="s">
        <v>909</v>
      </c>
      <c r="B6" s="6" t="s">
        <v>699</v>
      </c>
      <c r="C6" s="6" t="s">
        <v>700</v>
      </c>
      <c r="D6" s="6" t="s">
        <v>701</v>
      </c>
      <c r="E6" s="6" t="s">
        <v>680</v>
      </c>
      <c r="F6" s="6" t="s">
        <v>910</v>
      </c>
      <c r="G6" s="6" t="s">
        <v>911</v>
      </c>
      <c r="H6" s="6" t="s">
        <v>912</v>
      </c>
      <c r="I6" s="6" t="s">
        <v>913</v>
      </c>
      <c r="J6" s="6" t="s">
        <v>914</v>
      </c>
      <c r="K6" s="6" t="s">
        <v>85</v>
      </c>
    </row>
    <row r="7" customFormat="false" ht="64.15" hidden="false" customHeight="false" outlineLevel="0" collapsed="false">
      <c r="A7" s="6" t="s">
        <v>915</v>
      </c>
      <c r="B7" s="6" t="s">
        <v>81</v>
      </c>
      <c r="C7" s="6" t="s">
        <v>83</v>
      </c>
      <c r="D7" s="6" t="s">
        <v>84</v>
      </c>
      <c r="E7" s="6" t="s">
        <v>82</v>
      </c>
      <c r="F7" s="6" t="s">
        <v>916</v>
      </c>
      <c r="G7" s="6" t="s">
        <v>917</v>
      </c>
      <c r="H7" s="6" t="s">
        <v>918</v>
      </c>
      <c r="I7" s="6" t="s">
        <v>919</v>
      </c>
      <c r="J7" s="6" t="s">
        <v>920</v>
      </c>
      <c r="K7" s="6" t="s">
        <v>85</v>
      </c>
    </row>
    <row r="8" customFormat="false" ht="64.15" hidden="false" customHeight="false" outlineLevel="0" collapsed="false">
      <c r="A8" s="6" t="s">
        <v>921</v>
      </c>
      <c r="B8" s="6" t="s">
        <v>922</v>
      </c>
      <c r="C8" s="6" t="s">
        <v>313</v>
      </c>
      <c r="D8" s="6" t="s">
        <v>314</v>
      </c>
      <c r="E8" s="6" t="s">
        <v>312</v>
      </c>
      <c r="F8" s="6" t="s">
        <v>923</v>
      </c>
      <c r="G8" s="6" t="s">
        <v>924</v>
      </c>
      <c r="H8" s="6" t="s">
        <v>925</v>
      </c>
      <c r="I8" s="6" t="s">
        <v>926</v>
      </c>
      <c r="J8" s="6" t="s">
        <v>927</v>
      </c>
      <c r="K8" s="6" t="s">
        <v>85</v>
      </c>
    </row>
    <row r="9" customFormat="false" ht="64.15" hidden="false" customHeight="false" outlineLevel="0" collapsed="false">
      <c r="A9" s="6" t="s">
        <v>928</v>
      </c>
      <c r="B9" s="6" t="s">
        <v>501</v>
      </c>
      <c r="C9" s="6" t="s">
        <v>503</v>
      </c>
      <c r="D9" s="6" t="s">
        <v>504</v>
      </c>
      <c r="E9" s="6" t="s">
        <v>502</v>
      </c>
      <c r="F9" s="6" t="s">
        <v>929</v>
      </c>
      <c r="G9" s="6" t="s">
        <v>930</v>
      </c>
      <c r="H9" s="6" t="s">
        <v>931</v>
      </c>
      <c r="I9" s="6" t="s">
        <v>932</v>
      </c>
      <c r="J9" s="6" t="s">
        <v>933</v>
      </c>
      <c r="K9" s="6" t="s">
        <v>85</v>
      </c>
    </row>
    <row r="10" customFormat="false" ht="32.8" hidden="false" customHeight="false" outlineLevel="0" collapsed="false">
      <c r="A10" s="6" t="s">
        <v>934</v>
      </c>
      <c r="B10" s="6" t="s">
        <v>707</v>
      </c>
      <c r="C10" s="6" t="s">
        <v>708</v>
      </c>
      <c r="D10" s="6" t="s">
        <v>709</v>
      </c>
      <c r="E10" s="6" t="s">
        <v>680</v>
      </c>
      <c r="F10" s="6" t="s">
        <v>910</v>
      </c>
      <c r="G10" s="6" t="s">
        <v>935</v>
      </c>
      <c r="H10" s="6" t="s">
        <v>936</v>
      </c>
      <c r="I10" s="6" t="s">
        <v>937</v>
      </c>
      <c r="J10" s="6" t="s">
        <v>938</v>
      </c>
      <c r="K10" s="6" t="s">
        <v>85</v>
      </c>
    </row>
    <row r="11" customFormat="false" ht="74.6" hidden="false" customHeight="false" outlineLevel="0" collapsed="false">
      <c r="A11" s="6" t="s">
        <v>939</v>
      </c>
      <c r="B11" s="6" t="s">
        <v>851</v>
      </c>
      <c r="C11" s="6" t="s">
        <v>853</v>
      </c>
      <c r="D11" s="6" t="s">
        <v>854</v>
      </c>
      <c r="E11" s="6" t="s">
        <v>852</v>
      </c>
      <c r="F11" s="6" t="s">
        <v>940</v>
      </c>
      <c r="G11" s="6" t="s">
        <v>941</v>
      </c>
      <c r="H11" s="6" t="s">
        <v>942</v>
      </c>
      <c r="I11" s="6" t="s">
        <v>943</v>
      </c>
      <c r="J11" s="6" t="s">
        <v>944</v>
      </c>
      <c r="K11" s="6" t="s">
        <v>85</v>
      </c>
    </row>
    <row r="12" customFormat="false" ht="53.7" hidden="false" customHeight="false" outlineLevel="0" collapsed="false">
      <c r="A12" s="6" t="s">
        <v>945</v>
      </c>
      <c r="B12" s="6" t="s">
        <v>861</v>
      </c>
      <c r="C12" s="6" t="s">
        <v>863</v>
      </c>
      <c r="D12" s="6" t="s">
        <v>864</v>
      </c>
      <c r="E12" s="6" t="s">
        <v>862</v>
      </c>
      <c r="F12" s="6" t="s">
        <v>946</v>
      </c>
      <c r="G12" s="6" t="s">
        <v>947</v>
      </c>
      <c r="H12" s="6" t="s">
        <v>948</v>
      </c>
      <c r="I12" s="6" t="s">
        <v>949</v>
      </c>
      <c r="J12" s="6" t="s">
        <v>950</v>
      </c>
      <c r="K12" s="6" t="s">
        <v>85</v>
      </c>
    </row>
    <row r="13" customFormat="false" ht="95.5" hidden="false" customHeight="false" outlineLevel="0" collapsed="false">
      <c r="A13" s="6" t="s">
        <v>951</v>
      </c>
      <c r="B13" s="6" t="s">
        <v>370</v>
      </c>
      <c r="C13" s="6" t="s">
        <v>372</v>
      </c>
      <c r="D13" s="6" t="s">
        <v>373</v>
      </c>
      <c r="E13" s="6" t="s">
        <v>371</v>
      </c>
      <c r="F13" s="6" t="s">
        <v>952</v>
      </c>
      <c r="G13" s="6" t="s">
        <v>953</v>
      </c>
      <c r="H13" s="6" t="s">
        <v>954</v>
      </c>
      <c r="I13" s="6" t="s">
        <v>955</v>
      </c>
      <c r="J13" s="6" t="s">
        <v>956</v>
      </c>
      <c r="K13" s="6" t="s">
        <v>85</v>
      </c>
    </row>
    <row r="14" customFormat="false" ht="64.15" hidden="false" customHeight="false" outlineLevel="0" collapsed="false">
      <c r="A14" s="6" t="s">
        <v>957</v>
      </c>
      <c r="B14" s="6" t="s">
        <v>958</v>
      </c>
      <c r="C14" s="6" t="s">
        <v>298</v>
      </c>
      <c r="D14" s="6" t="s">
        <v>959</v>
      </c>
      <c r="E14" s="6" t="s">
        <v>69</v>
      </c>
      <c r="F14" s="6" t="s">
        <v>960</v>
      </c>
      <c r="G14" s="6" t="s">
        <v>961</v>
      </c>
      <c r="H14" s="6" t="s">
        <v>962</v>
      </c>
      <c r="I14" s="6" t="s">
        <v>963</v>
      </c>
      <c r="J14" s="6" t="s">
        <v>964</v>
      </c>
      <c r="K14" s="6" t="s">
        <v>85</v>
      </c>
    </row>
    <row r="15" customFormat="false" ht="137.3" hidden="false" customHeight="false" outlineLevel="0" collapsed="false">
      <c r="A15" s="6" t="s">
        <v>965</v>
      </c>
      <c r="B15" s="6" t="s">
        <v>509</v>
      </c>
      <c r="C15" s="6" t="s">
        <v>511</v>
      </c>
      <c r="D15" s="6" t="s">
        <v>512</v>
      </c>
      <c r="E15" s="6" t="s">
        <v>510</v>
      </c>
      <c r="F15" s="6"/>
      <c r="G15" s="6" t="s">
        <v>966</v>
      </c>
      <c r="H15" s="6" t="s">
        <v>967</v>
      </c>
      <c r="I15" s="6" t="s">
        <v>968</v>
      </c>
      <c r="J15" s="6" t="s">
        <v>969</v>
      </c>
      <c r="K15" s="6" t="s">
        <v>85</v>
      </c>
    </row>
    <row r="16" customFormat="false" ht="137.3" hidden="false" customHeight="false" outlineLevel="0" collapsed="false">
      <c r="A16" s="6" t="s">
        <v>970</v>
      </c>
      <c r="B16" s="6" t="s">
        <v>514</v>
      </c>
      <c r="C16" s="6" t="s">
        <v>516</v>
      </c>
      <c r="D16" s="6" t="s">
        <v>517</v>
      </c>
      <c r="E16" s="6" t="s">
        <v>515</v>
      </c>
      <c r="F16" s="6" t="s">
        <v>971</v>
      </c>
      <c r="G16" s="6" t="s">
        <v>972</v>
      </c>
      <c r="H16" s="6" t="s">
        <v>973</v>
      </c>
      <c r="I16" s="6" t="s">
        <v>974</v>
      </c>
      <c r="J16" s="6" t="s">
        <v>975</v>
      </c>
      <c r="K16" s="6" t="s">
        <v>85</v>
      </c>
    </row>
    <row r="17" customFormat="false" ht="126.85" hidden="false" customHeight="false" outlineLevel="0" collapsed="false">
      <c r="A17" s="6" t="s">
        <v>976</v>
      </c>
      <c r="B17" s="6" t="s">
        <v>587</v>
      </c>
      <c r="C17" s="6" t="s">
        <v>589</v>
      </c>
      <c r="D17" s="6" t="s">
        <v>590</v>
      </c>
      <c r="E17" s="6" t="s">
        <v>588</v>
      </c>
      <c r="F17" s="6" t="s">
        <v>977</v>
      </c>
      <c r="G17" s="6" t="s">
        <v>978</v>
      </c>
      <c r="H17" s="6" t="s">
        <v>979</v>
      </c>
      <c r="I17" s="6" t="s">
        <v>980</v>
      </c>
      <c r="J17" s="6" t="s">
        <v>981</v>
      </c>
      <c r="K17" s="6" t="s">
        <v>85</v>
      </c>
    </row>
    <row r="18" customFormat="false" ht="64.15" hidden="false" customHeight="false" outlineLevel="0" collapsed="false">
      <c r="A18" s="6" t="s">
        <v>982</v>
      </c>
      <c r="B18" s="6" t="s">
        <v>753</v>
      </c>
      <c r="C18" s="6" t="s">
        <v>755</v>
      </c>
      <c r="D18" s="6" t="s">
        <v>756</v>
      </c>
      <c r="E18" s="6" t="s">
        <v>754</v>
      </c>
      <c r="F18" s="6" t="s">
        <v>983</v>
      </c>
      <c r="G18" s="6" t="s">
        <v>984</v>
      </c>
      <c r="H18" s="6" t="s">
        <v>985</v>
      </c>
      <c r="I18" s="6" t="s">
        <v>986</v>
      </c>
      <c r="J18" s="6" t="s">
        <v>987</v>
      </c>
      <c r="K18" s="6" t="s">
        <v>85</v>
      </c>
    </row>
    <row r="19" customFormat="false" ht="32.8" hidden="false" customHeight="false" outlineLevel="0" collapsed="false">
      <c r="A19" s="6" t="s">
        <v>988</v>
      </c>
      <c r="B19" s="6" t="s">
        <v>679</v>
      </c>
      <c r="C19" s="6" t="s">
        <v>681</v>
      </c>
      <c r="D19" s="6" t="s">
        <v>682</v>
      </c>
      <c r="E19" s="6" t="s">
        <v>680</v>
      </c>
      <c r="F19" s="6" t="s">
        <v>989</v>
      </c>
      <c r="G19" s="6" t="s">
        <v>990</v>
      </c>
      <c r="H19" s="6" t="s">
        <v>991</v>
      </c>
      <c r="I19" s="6" t="s">
        <v>992</v>
      </c>
      <c r="J19" s="6" t="s">
        <v>993</v>
      </c>
      <c r="K19" s="6" t="s">
        <v>85</v>
      </c>
    </row>
    <row r="20" customFormat="false" ht="43.25" hidden="false" customHeight="false" outlineLevel="0" collapsed="false">
      <c r="A20" s="6" t="s">
        <v>994</v>
      </c>
      <c r="B20" s="6" t="s">
        <v>715</v>
      </c>
      <c r="C20" s="6" t="s">
        <v>716</v>
      </c>
      <c r="D20" s="6" t="s">
        <v>717</v>
      </c>
      <c r="E20" s="6" t="s">
        <v>680</v>
      </c>
      <c r="F20" s="6" t="s">
        <v>995</v>
      </c>
      <c r="G20" s="6" t="s">
        <v>996</v>
      </c>
      <c r="H20" s="6" t="s">
        <v>997</v>
      </c>
      <c r="I20" s="6" t="s">
        <v>998</v>
      </c>
      <c r="J20" s="6" t="s">
        <v>999</v>
      </c>
      <c r="K20" s="6" t="s">
        <v>85</v>
      </c>
    </row>
    <row r="21" customFormat="false" ht="64.15" hidden="false" customHeight="false" outlineLevel="0" collapsed="false">
      <c r="A21" s="6" t="s">
        <v>1000</v>
      </c>
      <c r="B21" s="6" t="s">
        <v>856</v>
      </c>
      <c r="C21" s="6" t="s">
        <v>858</v>
      </c>
      <c r="D21" s="6" t="s">
        <v>859</v>
      </c>
      <c r="E21" s="6" t="s">
        <v>857</v>
      </c>
      <c r="F21" s="6" t="s">
        <v>1001</v>
      </c>
      <c r="G21" s="6" t="s">
        <v>1002</v>
      </c>
      <c r="H21" s="6" t="s">
        <v>1003</v>
      </c>
      <c r="I21" s="6" t="s">
        <v>1004</v>
      </c>
      <c r="J21" s="6" t="s">
        <v>1005</v>
      </c>
      <c r="K21" s="6" t="s">
        <v>85</v>
      </c>
    </row>
    <row r="22" customFormat="false" ht="85.05" hidden="false" customHeight="false" outlineLevel="0" collapsed="false">
      <c r="A22" s="6" t="s">
        <v>1006</v>
      </c>
      <c r="B22" s="6" t="s">
        <v>866</v>
      </c>
      <c r="C22" s="6" t="s">
        <v>868</v>
      </c>
      <c r="D22" s="6" t="s">
        <v>869</v>
      </c>
      <c r="E22" s="6" t="s">
        <v>867</v>
      </c>
      <c r="F22" s="6" t="s">
        <v>1007</v>
      </c>
      <c r="G22" s="6" t="s">
        <v>1008</v>
      </c>
      <c r="H22" s="6" t="s">
        <v>1009</v>
      </c>
      <c r="I22" s="6" t="s">
        <v>1010</v>
      </c>
      <c r="J22" s="6" t="s">
        <v>1011</v>
      </c>
      <c r="K22" s="6" t="s">
        <v>85</v>
      </c>
    </row>
    <row r="23" customFormat="false" ht="64.15" hidden="false" customHeight="false" outlineLevel="0" collapsed="false">
      <c r="A23" s="6" t="s">
        <v>1012</v>
      </c>
      <c r="B23" s="6" t="s">
        <v>871</v>
      </c>
      <c r="C23" s="6" t="s">
        <v>873</v>
      </c>
      <c r="D23" s="6" t="s">
        <v>874</v>
      </c>
      <c r="E23" s="6" t="s">
        <v>872</v>
      </c>
      <c r="F23" s="6" t="s">
        <v>1013</v>
      </c>
      <c r="G23" s="6" t="s">
        <v>1014</v>
      </c>
      <c r="H23" s="6" t="s">
        <v>1015</v>
      </c>
      <c r="I23" s="6" t="s">
        <v>1016</v>
      </c>
      <c r="J23" s="6" t="s">
        <v>1017</v>
      </c>
      <c r="K23" s="6" t="s">
        <v>85</v>
      </c>
    </row>
    <row r="24" customFormat="false" ht="32.8" hidden="false" customHeight="false" outlineLevel="0" collapsed="false">
      <c r="A24" s="6" t="s">
        <v>1018</v>
      </c>
      <c r="B24" s="6" t="s">
        <v>711</v>
      </c>
      <c r="C24" s="6" t="s">
        <v>712</v>
      </c>
      <c r="D24" s="6" t="s">
        <v>713</v>
      </c>
      <c r="E24" s="6" t="s">
        <v>680</v>
      </c>
      <c r="F24" s="6" t="s">
        <v>910</v>
      </c>
      <c r="G24" s="6" t="s">
        <v>1019</v>
      </c>
      <c r="H24" s="6" t="s">
        <v>1020</v>
      </c>
      <c r="I24" s="6" t="s">
        <v>1021</v>
      </c>
      <c r="J24" s="6" t="s">
        <v>1022</v>
      </c>
      <c r="K24" s="6" t="s">
        <v>85</v>
      </c>
    </row>
    <row r="25" customFormat="false" ht="43.25" hidden="false" customHeight="false" outlineLevel="0" collapsed="false">
      <c r="A25" s="6" t="s">
        <v>1023</v>
      </c>
      <c r="B25" s="6" t="s">
        <v>692</v>
      </c>
      <c r="C25" s="6" t="s">
        <v>693</v>
      </c>
      <c r="D25" s="6" t="s">
        <v>694</v>
      </c>
      <c r="E25" s="6" t="s">
        <v>680</v>
      </c>
      <c r="F25" s="6" t="s">
        <v>910</v>
      </c>
      <c r="G25" s="6" t="s">
        <v>1024</v>
      </c>
      <c r="H25" s="6" t="s">
        <v>1025</v>
      </c>
      <c r="I25" s="6" t="s">
        <v>1026</v>
      </c>
      <c r="J25" s="6" t="s">
        <v>1027</v>
      </c>
      <c r="K25" s="6" t="s">
        <v>85</v>
      </c>
    </row>
    <row r="26" customFormat="false" ht="32.8" hidden="false" customHeight="false" outlineLevel="0" collapsed="false">
      <c r="A26" s="6" t="s">
        <v>1028</v>
      </c>
      <c r="B26" s="6" t="s">
        <v>703</v>
      </c>
      <c r="C26" s="6" t="s">
        <v>704</v>
      </c>
      <c r="D26" s="6" t="s">
        <v>705</v>
      </c>
      <c r="E26" s="6" t="s">
        <v>680</v>
      </c>
      <c r="F26" s="6" t="s">
        <v>910</v>
      </c>
      <c r="G26" s="6" t="s">
        <v>1029</v>
      </c>
      <c r="H26" s="6" t="s">
        <v>1030</v>
      </c>
      <c r="I26" s="6" t="s">
        <v>1031</v>
      </c>
      <c r="J26" s="6" t="s">
        <v>1032</v>
      </c>
      <c r="K26" s="6" t="s">
        <v>85</v>
      </c>
    </row>
    <row r="27" customFormat="false" ht="53.7" hidden="false" customHeight="false" outlineLevel="0" collapsed="false">
      <c r="A27" s="6" t="s">
        <v>1033</v>
      </c>
      <c r="B27" s="6" t="s">
        <v>301</v>
      </c>
      <c r="C27" s="6" t="s">
        <v>303</v>
      </c>
      <c r="D27" s="6" t="s">
        <v>304</v>
      </c>
      <c r="E27" s="6" t="s">
        <v>302</v>
      </c>
      <c r="F27" s="6" t="s">
        <v>1034</v>
      </c>
      <c r="G27" s="6" t="s">
        <v>1035</v>
      </c>
      <c r="H27" s="6" t="s">
        <v>1036</v>
      </c>
      <c r="I27" s="6" t="s">
        <v>1037</v>
      </c>
      <c r="J27" s="6" t="s">
        <v>1038</v>
      </c>
      <c r="K27" s="6" t="s">
        <v>85</v>
      </c>
    </row>
  </sheetData>
  <autoFilter ref="A1:K2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4"/>
    <col collapsed="false" customWidth="true" hidden="false" outlineLevel="0" max="5" min="3" style="0" width="12"/>
    <col collapsed="false" customWidth="true" hidden="false" outlineLevel="0" max="6" min="6" style="0" width="14"/>
    <col collapsed="false" customWidth="true" hidden="false" outlineLevel="0" max="7" min="7" style="0" width="16"/>
    <col collapsed="false" customWidth="true" hidden="false" outlineLevel="0" max="8" min="8" style="0" width="80"/>
  </cols>
  <sheetData>
    <row r="1" customFormat="false" ht="43.25" hidden="false" customHeight="false" outlineLevel="0" collapsed="false">
      <c r="A1" s="5" t="s">
        <v>876</v>
      </c>
      <c r="B1" s="5" t="s">
        <v>1039</v>
      </c>
      <c r="C1" s="5" t="s">
        <v>1040</v>
      </c>
      <c r="D1" s="5" t="s">
        <v>1041</v>
      </c>
      <c r="E1" s="5" t="s">
        <v>1042</v>
      </c>
      <c r="F1" s="5" t="s">
        <v>1043</v>
      </c>
      <c r="G1" s="5" t="s">
        <v>1044</v>
      </c>
      <c r="H1" s="5" t="s">
        <v>1045</v>
      </c>
    </row>
    <row r="2" customFormat="false" ht="15" hidden="false" customHeight="false" outlineLevel="0" collapsed="false">
      <c r="A2" s="6" t="s">
        <v>885</v>
      </c>
      <c r="B2" s="6" t="s">
        <v>1046</v>
      </c>
      <c r="C2" s="6" t="s">
        <v>1047</v>
      </c>
      <c r="D2" s="6" t="s">
        <v>1048</v>
      </c>
      <c r="E2" s="6" t="s">
        <v>1049</v>
      </c>
      <c r="F2" s="6" t="s">
        <v>1050</v>
      </c>
      <c r="G2" s="6" t="s">
        <v>1051</v>
      </c>
      <c r="H2" s="6" t="s">
        <v>1052</v>
      </c>
    </row>
    <row r="3" customFormat="false" ht="22.35" hidden="false" customHeight="false" outlineLevel="0" collapsed="false">
      <c r="A3" s="6" t="s">
        <v>891</v>
      </c>
      <c r="B3" s="6" t="s">
        <v>1053</v>
      </c>
      <c r="C3" s="6" t="s">
        <v>1054</v>
      </c>
      <c r="D3" s="6" t="s">
        <v>1048</v>
      </c>
      <c r="E3" s="6" t="s">
        <v>1049</v>
      </c>
      <c r="F3" s="6" t="s">
        <v>1050</v>
      </c>
      <c r="G3" s="6" t="s">
        <v>1051</v>
      </c>
      <c r="H3" s="6" t="s">
        <v>1055</v>
      </c>
    </row>
    <row r="4" customFormat="false" ht="32.8" hidden="false" customHeight="false" outlineLevel="0" collapsed="false">
      <c r="A4" s="6" t="s">
        <v>897</v>
      </c>
      <c r="B4" s="6" t="s">
        <v>1056</v>
      </c>
      <c r="C4" s="6" t="s">
        <v>1047</v>
      </c>
      <c r="D4" s="6" t="s">
        <v>1047</v>
      </c>
      <c r="E4" s="6" t="s">
        <v>1049</v>
      </c>
      <c r="F4" s="6" t="s">
        <v>1050</v>
      </c>
      <c r="G4" s="6" t="s">
        <v>1057</v>
      </c>
      <c r="H4" s="6" t="s">
        <v>1058</v>
      </c>
    </row>
    <row r="5" customFormat="false" ht="22.35" hidden="false" customHeight="false" outlineLevel="0" collapsed="false">
      <c r="A5" s="6" t="s">
        <v>903</v>
      </c>
      <c r="B5" s="6" t="s">
        <v>1059</v>
      </c>
      <c r="C5" s="6" t="s">
        <v>1047</v>
      </c>
      <c r="D5" s="6" t="s">
        <v>1050</v>
      </c>
      <c r="E5" s="6" t="s">
        <v>1049</v>
      </c>
      <c r="F5" s="6" t="s">
        <v>1050</v>
      </c>
      <c r="G5" s="6" t="s">
        <v>1057</v>
      </c>
      <c r="H5" s="6" t="s">
        <v>1060</v>
      </c>
    </row>
    <row r="6" customFormat="false" ht="22.35" hidden="false" customHeight="false" outlineLevel="0" collapsed="false">
      <c r="A6" s="6" t="s">
        <v>909</v>
      </c>
      <c r="B6" s="6" t="s">
        <v>1061</v>
      </c>
      <c r="C6" s="6" t="s">
        <v>1054</v>
      </c>
      <c r="D6" s="6" t="s">
        <v>1048</v>
      </c>
      <c r="E6" s="6" t="s">
        <v>1049</v>
      </c>
      <c r="F6" s="6" t="s">
        <v>1050</v>
      </c>
      <c r="G6" s="6" t="s">
        <v>1051</v>
      </c>
      <c r="H6" s="6" t="s">
        <v>1062</v>
      </c>
    </row>
    <row r="7" customFormat="false" ht="22.35" hidden="false" customHeight="false" outlineLevel="0" collapsed="false">
      <c r="A7" s="6" t="s">
        <v>915</v>
      </c>
      <c r="B7" s="6" t="s">
        <v>1063</v>
      </c>
      <c r="C7" s="6" t="s">
        <v>1050</v>
      </c>
      <c r="D7" s="6" t="s">
        <v>1047</v>
      </c>
      <c r="E7" s="6" t="s">
        <v>1049</v>
      </c>
      <c r="F7" s="6" t="s">
        <v>1050</v>
      </c>
      <c r="G7" s="6" t="s">
        <v>1057</v>
      </c>
      <c r="H7" s="6" t="s">
        <v>1064</v>
      </c>
    </row>
    <row r="8" customFormat="false" ht="22.35" hidden="false" customHeight="false" outlineLevel="0" collapsed="false">
      <c r="A8" s="6" t="s">
        <v>921</v>
      </c>
      <c r="B8" s="6" t="s">
        <v>1065</v>
      </c>
      <c r="C8" s="6" t="s">
        <v>1047</v>
      </c>
      <c r="D8" s="6" t="s">
        <v>1047</v>
      </c>
      <c r="E8" s="6" t="s">
        <v>1047</v>
      </c>
      <c r="F8" s="6" t="s">
        <v>1047</v>
      </c>
      <c r="G8" s="6" t="s">
        <v>1057</v>
      </c>
      <c r="H8" s="6" t="s">
        <v>1066</v>
      </c>
    </row>
    <row r="9" customFormat="false" ht="15" hidden="false" customHeight="false" outlineLevel="0" collapsed="false">
      <c r="A9" s="6" t="s">
        <v>928</v>
      </c>
      <c r="B9" s="6" t="s">
        <v>1067</v>
      </c>
      <c r="C9" s="6" t="s">
        <v>1047</v>
      </c>
      <c r="D9" s="6" t="s">
        <v>1048</v>
      </c>
      <c r="E9" s="6" t="s">
        <v>1049</v>
      </c>
      <c r="F9" s="6" t="s">
        <v>1050</v>
      </c>
      <c r="G9" s="6" t="s">
        <v>1051</v>
      </c>
      <c r="H9" s="6" t="s">
        <v>1068</v>
      </c>
    </row>
    <row r="10" customFormat="false" ht="22.35" hidden="false" customHeight="false" outlineLevel="0" collapsed="false">
      <c r="A10" s="6" t="s">
        <v>934</v>
      </c>
      <c r="B10" s="6" t="s">
        <v>1069</v>
      </c>
      <c r="C10" s="6" t="s">
        <v>1054</v>
      </c>
      <c r="D10" s="6" t="s">
        <v>1048</v>
      </c>
      <c r="E10" s="6" t="s">
        <v>1049</v>
      </c>
      <c r="F10" s="6" t="s">
        <v>1050</v>
      </c>
      <c r="G10" s="6" t="s">
        <v>1051</v>
      </c>
      <c r="H10" s="6" t="s">
        <v>1070</v>
      </c>
    </row>
    <row r="11" customFormat="false" ht="22.35" hidden="false" customHeight="false" outlineLevel="0" collapsed="false">
      <c r="A11" s="6" t="s">
        <v>939</v>
      </c>
      <c r="B11" s="6" t="s">
        <v>1071</v>
      </c>
      <c r="C11" s="6" t="s">
        <v>1047</v>
      </c>
      <c r="D11" s="6" t="s">
        <v>1048</v>
      </c>
      <c r="E11" s="6" t="s">
        <v>1049</v>
      </c>
      <c r="F11" s="6" t="s">
        <v>1050</v>
      </c>
      <c r="G11" s="6" t="s">
        <v>1051</v>
      </c>
      <c r="H11" s="6" t="s">
        <v>1072</v>
      </c>
    </row>
    <row r="12" customFormat="false" ht="22.35" hidden="false" customHeight="false" outlineLevel="0" collapsed="false">
      <c r="A12" s="6" t="s">
        <v>945</v>
      </c>
      <c r="B12" s="6" t="s">
        <v>1073</v>
      </c>
      <c r="C12" s="6" t="s">
        <v>1047</v>
      </c>
      <c r="D12" s="6" t="s">
        <v>1048</v>
      </c>
      <c r="E12" s="6" t="s">
        <v>1049</v>
      </c>
      <c r="F12" s="6" t="s">
        <v>1047</v>
      </c>
      <c r="G12" s="6" t="s">
        <v>1051</v>
      </c>
      <c r="H12" s="6" t="s">
        <v>1074</v>
      </c>
    </row>
    <row r="13" customFormat="false" ht="22.35" hidden="false" customHeight="false" outlineLevel="0" collapsed="false">
      <c r="A13" s="6" t="s">
        <v>951</v>
      </c>
      <c r="B13" s="6" t="s">
        <v>1075</v>
      </c>
      <c r="C13" s="6" t="s">
        <v>1050</v>
      </c>
      <c r="D13" s="6" t="s">
        <v>1050</v>
      </c>
      <c r="E13" s="6" t="s">
        <v>1047</v>
      </c>
      <c r="F13" s="6" t="s">
        <v>1050</v>
      </c>
      <c r="G13" s="6" t="s">
        <v>1076</v>
      </c>
      <c r="H13" s="6" t="s">
        <v>1077</v>
      </c>
    </row>
    <row r="14" customFormat="false" ht="22.35" hidden="false" customHeight="false" outlineLevel="0" collapsed="false">
      <c r="A14" s="6" t="s">
        <v>957</v>
      </c>
      <c r="B14" s="6" t="s">
        <v>1078</v>
      </c>
      <c r="C14" s="6" t="s">
        <v>1047</v>
      </c>
      <c r="D14" s="6" t="s">
        <v>1047</v>
      </c>
      <c r="E14" s="6" t="s">
        <v>1048</v>
      </c>
      <c r="F14" s="6" t="s">
        <v>1047</v>
      </c>
      <c r="G14" s="6" t="s">
        <v>1057</v>
      </c>
      <c r="H14" s="6" t="s">
        <v>1079</v>
      </c>
    </row>
    <row r="15" customFormat="false" ht="22.35" hidden="false" customHeight="false" outlineLevel="0" collapsed="false">
      <c r="A15" s="6" t="s">
        <v>965</v>
      </c>
      <c r="B15" s="6" t="s">
        <v>1080</v>
      </c>
      <c r="C15" s="6" t="s">
        <v>1047</v>
      </c>
      <c r="D15" s="6" t="s">
        <v>1048</v>
      </c>
      <c r="E15" s="6" t="s">
        <v>1049</v>
      </c>
      <c r="F15" s="6" t="s">
        <v>1050</v>
      </c>
      <c r="G15" s="6" t="s">
        <v>1051</v>
      </c>
      <c r="H15" s="6" t="s">
        <v>1081</v>
      </c>
    </row>
    <row r="16" customFormat="false" ht="22.35" hidden="false" customHeight="false" outlineLevel="0" collapsed="false">
      <c r="A16" s="6" t="s">
        <v>970</v>
      </c>
      <c r="B16" s="6" t="s">
        <v>1082</v>
      </c>
      <c r="C16" s="6" t="s">
        <v>1047</v>
      </c>
      <c r="D16" s="6" t="s">
        <v>1047</v>
      </c>
      <c r="E16" s="6" t="s">
        <v>1047</v>
      </c>
      <c r="F16" s="6" t="s">
        <v>1047</v>
      </c>
      <c r="G16" s="6" t="s">
        <v>1057</v>
      </c>
      <c r="H16" s="6" t="s">
        <v>1083</v>
      </c>
    </row>
    <row r="17" customFormat="false" ht="22.35" hidden="false" customHeight="false" outlineLevel="0" collapsed="false">
      <c r="A17" s="6" t="s">
        <v>976</v>
      </c>
      <c r="B17" s="6" t="s">
        <v>1084</v>
      </c>
      <c r="C17" s="6" t="s">
        <v>1047</v>
      </c>
      <c r="D17" s="6" t="s">
        <v>1047</v>
      </c>
      <c r="E17" s="6" t="s">
        <v>1049</v>
      </c>
      <c r="F17" s="6" t="s">
        <v>1050</v>
      </c>
      <c r="G17" s="6" t="s">
        <v>1057</v>
      </c>
      <c r="H17" s="6" t="s">
        <v>1085</v>
      </c>
    </row>
    <row r="18" customFormat="false" ht="22.35" hidden="false" customHeight="false" outlineLevel="0" collapsed="false">
      <c r="A18" s="6" t="s">
        <v>982</v>
      </c>
      <c r="B18" s="6" t="s">
        <v>1086</v>
      </c>
      <c r="C18" s="6" t="s">
        <v>1050</v>
      </c>
      <c r="D18" s="6" t="s">
        <v>1050</v>
      </c>
      <c r="E18" s="6" t="s">
        <v>1049</v>
      </c>
      <c r="F18" s="6" t="s">
        <v>1050</v>
      </c>
      <c r="G18" s="6" t="s">
        <v>1076</v>
      </c>
      <c r="H18" s="6" t="s">
        <v>1087</v>
      </c>
    </row>
    <row r="19" customFormat="false" ht="22.35" hidden="false" customHeight="false" outlineLevel="0" collapsed="false">
      <c r="A19" s="6" t="s">
        <v>988</v>
      </c>
      <c r="B19" s="6" t="s">
        <v>1088</v>
      </c>
      <c r="C19" s="6" t="s">
        <v>1054</v>
      </c>
      <c r="D19" s="6" t="s">
        <v>1048</v>
      </c>
      <c r="E19" s="6" t="s">
        <v>1049</v>
      </c>
      <c r="F19" s="6" t="s">
        <v>1050</v>
      </c>
      <c r="G19" s="6" t="s">
        <v>1051</v>
      </c>
      <c r="H19" s="6" t="s">
        <v>1089</v>
      </c>
    </row>
    <row r="20" customFormat="false" ht="22.35" hidden="false" customHeight="false" outlineLevel="0" collapsed="false">
      <c r="A20" s="6" t="s">
        <v>994</v>
      </c>
      <c r="B20" s="6" t="s">
        <v>1090</v>
      </c>
      <c r="C20" s="6" t="s">
        <v>1050</v>
      </c>
      <c r="D20" s="6" t="s">
        <v>1050</v>
      </c>
      <c r="E20" s="6" t="s">
        <v>1047</v>
      </c>
      <c r="F20" s="6" t="s">
        <v>1050</v>
      </c>
      <c r="G20" s="6" t="s">
        <v>1076</v>
      </c>
      <c r="H20" s="6" t="s">
        <v>1091</v>
      </c>
    </row>
    <row r="21" customFormat="false" ht="22.35" hidden="false" customHeight="false" outlineLevel="0" collapsed="false">
      <c r="A21" s="6" t="s">
        <v>1000</v>
      </c>
      <c r="B21" s="6" t="s">
        <v>1092</v>
      </c>
      <c r="C21" s="6" t="s">
        <v>1047</v>
      </c>
      <c r="D21" s="6" t="s">
        <v>1048</v>
      </c>
      <c r="E21" s="6" t="s">
        <v>1049</v>
      </c>
      <c r="F21" s="6" t="s">
        <v>1050</v>
      </c>
      <c r="G21" s="6" t="s">
        <v>1051</v>
      </c>
      <c r="H21" s="6" t="s">
        <v>1093</v>
      </c>
    </row>
    <row r="22" customFormat="false" ht="22.35" hidden="false" customHeight="false" outlineLevel="0" collapsed="false">
      <c r="A22" s="6" t="s">
        <v>1006</v>
      </c>
      <c r="B22" s="6" t="s">
        <v>1094</v>
      </c>
      <c r="C22" s="6" t="s">
        <v>1050</v>
      </c>
      <c r="D22" s="6" t="s">
        <v>1050</v>
      </c>
      <c r="E22" s="6" t="s">
        <v>1049</v>
      </c>
      <c r="F22" s="6" t="s">
        <v>1050</v>
      </c>
      <c r="G22" s="6" t="s">
        <v>1076</v>
      </c>
      <c r="H22" s="6" t="s">
        <v>1095</v>
      </c>
    </row>
    <row r="23" customFormat="false" ht="22.35" hidden="false" customHeight="false" outlineLevel="0" collapsed="false">
      <c r="A23" s="6" t="s">
        <v>1012</v>
      </c>
      <c r="B23" s="6" t="s">
        <v>1096</v>
      </c>
      <c r="C23" s="6" t="s">
        <v>1047</v>
      </c>
      <c r="D23" s="6" t="s">
        <v>1047</v>
      </c>
      <c r="E23" s="6" t="s">
        <v>1049</v>
      </c>
      <c r="F23" s="6" t="s">
        <v>1050</v>
      </c>
      <c r="G23" s="6" t="s">
        <v>1057</v>
      </c>
      <c r="H23" s="6" t="s">
        <v>1097</v>
      </c>
    </row>
    <row r="24" customFormat="false" ht="22.35" hidden="false" customHeight="false" outlineLevel="0" collapsed="false">
      <c r="A24" s="6" t="s">
        <v>1018</v>
      </c>
      <c r="B24" s="6" t="s">
        <v>1098</v>
      </c>
      <c r="C24" s="6" t="s">
        <v>1054</v>
      </c>
      <c r="D24" s="6" t="s">
        <v>1048</v>
      </c>
      <c r="E24" s="6" t="s">
        <v>1048</v>
      </c>
      <c r="F24" s="6" t="s">
        <v>1047</v>
      </c>
      <c r="G24" s="6" t="s">
        <v>1057</v>
      </c>
      <c r="H24" s="6" t="s">
        <v>1099</v>
      </c>
    </row>
    <row r="25" customFormat="false" ht="22.35" hidden="false" customHeight="false" outlineLevel="0" collapsed="false">
      <c r="A25" s="6" t="s">
        <v>1023</v>
      </c>
      <c r="B25" s="6" t="s">
        <v>1100</v>
      </c>
      <c r="C25" s="6" t="s">
        <v>1054</v>
      </c>
      <c r="D25" s="6" t="s">
        <v>1048</v>
      </c>
      <c r="E25" s="6" t="s">
        <v>1049</v>
      </c>
      <c r="F25" s="6" t="s">
        <v>1050</v>
      </c>
      <c r="G25" s="6" t="s">
        <v>1051</v>
      </c>
      <c r="H25" s="6" t="s">
        <v>1101</v>
      </c>
    </row>
    <row r="26" customFormat="false" ht="22.35" hidden="false" customHeight="false" outlineLevel="0" collapsed="false">
      <c r="A26" s="6" t="s">
        <v>1028</v>
      </c>
      <c r="B26" s="6" t="s">
        <v>1102</v>
      </c>
      <c r="C26" s="6" t="s">
        <v>1054</v>
      </c>
      <c r="D26" s="6" t="s">
        <v>1048</v>
      </c>
      <c r="E26" s="6" t="s">
        <v>1049</v>
      </c>
      <c r="F26" s="6" t="s">
        <v>1050</v>
      </c>
      <c r="G26" s="6" t="s">
        <v>1051</v>
      </c>
      <c r="H26" s="6" t="s">
        <v>1103</v>
      </c>
    </row>
    <row r="27" customFormat="false" ht="22.35" hidden="false" customHeight="false" outlineLevel="0" collapsed="false">
      <c r="A27" s="6" t="s">
        <v>1033</v>
      </c>
      <c r="B27" s="6" t="s">
        <v>1104</v>
      </c>
      <c r="C27" s="6" t="s">
        <v>1047</v>
      </c>
      <c r="D27" s="6" t="s">
        <v>1047</v>
      </c>
      <c r="E27" s="6" t="s">
        <v>1047</v>
      </c>
      <c r="F27" s="6" t="s">
        <v>1050</v>
      </c>
      <c r="G27" s="6" t="s">
        <v>1057</v>
      </c>
      <c r="H27" s="6" t="s">
        <v>1105</v>
      </c>
    </row>
    <row r="28" customFormat="false" ht="15" hidden="false" customHeight="false" outlineLevel="0" collapsed="false">
      <c r="A28" s="6"/>
      <c r="B28" s="6"/>
      <c r="C28" s="6"/>
      <c r="D28" s="6"/>
      <c r="E28" s="6"/>
      <c r="F28" s="6"/>
      <c r="G28" s="6"/>
      <c r="H28" s="6"/>
    </row>
    <row r="29" customFormat="false" ht="48" hidden="false" customHeight="true" outlineLevel="0" collapsed="false">
      <c r="A29" s="7" t="s">
        <v>1106</v>
      </c>
      <c r="B29" s="7"/>
      <c r="C29" s="7"/>
      <c r="D29" s="7"/>
      <c r="E29" s="7"/>
      <c r="F29" s="7"/>
      <c r="G29" s="7"/>
      <c r="H29" s="7"/>
    </row>
  </sheetData>
  <autoFilter ref="A1:H27"/>
  <mergeCells count="1">
    <mergeCell ref="A29:H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50"/>
    <col collapsed="false" customWidth="true" hidden="false" outlineLevel="0" max="5" min="4" style="0" width="30"/>
    <col collapsed="false" customWidth="true" hidden="false" outlineLevel="0" max="6" min="6" style="0" width="60"/>
    <col collapsed="false" customWidth="true" hidden="false" outlineLevel="0" max="7" min="7" style="0" width="20"/>
    <col collapsed="false" customWidth="true" hidden="false" outlineLevel="0" max="8" min="8" style="0" width="56"/>
  </cols>
  <sheetData>
    <row r="1" customFormat="false" ht="22.35" hidden="false" customHeight="false" outlineLevel="0" collapsed="false">
      <c r="A1" s="5" t="s">
        <v>33</v>
      </c>
      <c r="B1" s="5" t="s">
        <v>36</v>
      </c>
      <c r="C1" s="5" t="s">
        <v>37</v>
      </c>
      <c r="D1" s="5" t="s">
        <v>878</v>
      </c>
      <c r="E1" s="5" t="s">
        <v>879</v>
      </c>
      <c r="F1" s="5" t="s">
        <v>1107</v>
      </c>
      <c r="G1" s="5" t="s">
        <v>42</v>
      </c>
      <c r="H1" s="5" t="s">
        <v>1108</v>
      </c>
    </row>
    <row r="2" customFormat="false" ht="43.25" hidden="false" customHeight="false" outlineLevel="0" collapsed="false">
      <c r="A2" s="6" t="s">
        <v>46</v>
      </c>
      <c r="B2" s="6" t="s">
        <v>48</v>
      </c>
      <c r="C2" s="6" t="s">
        <v>49</v>
      </c>
      <c r="D2" s="6" t="s">
        <v>47</v>
      </c>
      <c r="E2" s="6" t="s">
        <v>1109</v>
      </c>
      <c r="F2" s="6" t="s">
        <v>1110</v>
      </c>
      <c r="G2" s="6" t="s">
        <v>50</v>
      </c>
      <c r="H2" s="6" t="s">
        <v>1111</v>
      </c>
    </row>
    <row r="3" customFormat="false" ht="32.8" hidden="false" customHeight="false" outlineLevel="0" collapsed="false">
      <c r="A3" s="6" t="s">
        <v>77</v>
      </c>
      <c r="B3" s="6" t="s">
        <v>79</v>
      </c>
      <c r="C3" s="6" t="s">
        <v>80</v>
      </c>
      <c r="D3" s="6" t="s">
        <v>78</v>
      </c>
      <c r="E3" s="6" t="s">
        <v>1112</v>
      </c>
      <c r="F3" s="6" t="s">
        <v>1113</v>
      </c>
      <c r="G3" s="6" t="s">
        <v>50</v>
      </c>
      <c r="H3" s="6" t="s">
        <v>1111</v>
      </c>
    </row>
    <row r="4" customFormat="false" ht="43.25" hidden="false" customHeight="false" outlineLevel="0" collapsed="false">
      <c r="A4" s="6" t="s">
        <v>103</v>
      </c>
      <c r="B4" s="6" t="s">
        <v>105</v>
      </c>
      <c r="C4" s="6" t="s">
        <v>106</v>
      </c>
      <c r="D4" s="6" t="s">
        <v>104</v>
      </c>
      <c r="E4" s="6" t="s">
        <v>1114</v>
      </c>
      <c r="F4" s="6" t="s">
        <v>1115</v>
      </c>
      <c r="G4" s="6" t="s">
        <v>50</v>
      </c>
      <c r="H4" s="6" t="s">
        <v>1111</v>
      </c>
    </row>
    <row r="5" customFormat="false" ht="43.25" hidden="false" customHeight="false" outlineLevel="0" collapsed="false">
      <c r="A5" s="6" t="s">
        <v>107</v>
      </c>
      <c r="B5" s="6" t="s">
        <v>109</v>
      </c>
      <c r="C5" s="6" t="s">
        <v>110</v>
      </c>
      <c r="D5" s="6" t="s">
        <v>108</v>
      </c>
      <c r="E5" s="6" t="s">
        <v>1116</v>
      </c>
      <c r="F5" s="6" t="s">
        <v>1117</v>
      </c>
      <c r="G5" s="6" t="s">
        <v>50</v>
      </c>
      <c r="H5" s="6" t="s">
        <v>1111</v>
      </c>
    </row>
    <row r="6" customFormat="false" ht="95.5" hidden="false" customHeight="false" outlineLevel="0" collapsed="false">
      <c r="A6" s="6" t="s">
        <v>129</v>
      </c>
      <c r="B6" s="6" t="s">
        <v>131</v>
      </c>
      <c r="C6" s="6" t="s">
        <v>132</v>
      </c>
      <c r="D6" s="6" t="s">
        <v>130</v>
      </c>
      <c r="E6" s="6" t="s">
        <v>1118</v>
      </c>
      <c r="F6" s="6" t="s">
        <v>1119</v>
      </c>
      <c r="G6" s="6" t="s">
        <v>50</v>
      </c>
      <c r="H6" s="6" t="s">
        <v>1111</v>
      </c>
    </row>
    <row r="7" customFormat="false" ht="53.7" hidden="false" customHeight="false" outlineLevel="0" collapsed="false">
      <c r="A7" s="6" t="s">
        <v>133</v>
      </c>
      <c r="B7" s="6" t="s">
        <v>135</v>
      </c>
      <c r="C7" s="6" t="s">
        <v>136</v>
      </c>
      <c r="D7" s="6" t="s">
        <v>134</v>
      </c>
      <c r="E7" s="6" t="s">
        <v>1120</v>
      </c>
      <c r="F7" s="6" t="s">
        <v>1121</v>
      </c>
      <c r="G7" s="6" t="s">
        <v>50</v>
      </c>
      <c r="H7" s="6" t="s">
        <v>1111</v>
      </c>
    </row>
    <row r="8" customFormat="false" ht="85.05" hidden="false" customHeight="false" outlineLevel="0" collapsed="false">
      <c r="A8" s="6" t="s">
        <v>149</v>
      </c>
      <c r="B8" s="6" t="s">
        <v>151</v>
      </c>
      <c r="C8" s="6" t="s">
        <v>152</v>
      </c>
      <c r="D8" s="6" t="s">
        <v>150</v>
      </c>
      <c r="E8" s="6" t="s">
        <v>1122</v>
      </c>
      <c r="F8" s="6" t="s">
        <v>1123</v>
      </c>
      <c r="G8" s="6" t="s">
        <v>50</v>
      </c>
      <c r="H8" s="6" t="s">
        <v>1111</v>
      </c>
    </row>
    <row r="9" customFormat="false" ht="32.8" hidden="false" customHeight="false" outlineLevel="0" collapsed="false">
      <c r="A9" s="6" t="s">
        <v>177</v>
      </c>
      <c r="B9" s="6" t="s">
        <v>179</v>
      </c>
      <c r="C9" s="6" t="s">
        <v>180</v>
      </c>
      <c r="D9" s="6" t="s">
        <v>178</v>
      </c>
      <c r="E9" s="6" t="s">
        <v>1124</v>
      </c>
      <c r="F9" s="6" t="s">
        <v>1125</v>
      </c>
      <c r="G9" s="6" t="s">
        <v>50</v>
      </c>
      <c r="H9" s="6" t="s">
        <v>1111</v>
      </c>
    </row>
    <row r="10" customFormat="false" ht="43.25" hidden="false" customHeight="false" outlineLevel="0" collapsed="false">
      <c r="A10" s="6" t="s">
        <v>185</v>
      </c>
      <c r="B10" s="6" t="s">
        <v>187</v>
      </c>
      <c r="C10" s="6" t="s">
        <v>188</v>
      </c>
      <c r="D10" s="6" t="s">
        <v>186</v>
      </c>
      <c r="E10" s="6" t="s">
        <v>1126</v>
      </c>
      <c r="F10" s="6" t="s">
        <v>1125</v>
      </c>
      <c r="G10" s="6" t="s">
        <v>50</v>
      </c>
      <c r="H10" s="6" t="s">
        <v>1111</v>
      </c>
    </row>
    <row r="11" customFormat="false" ht="64.15" hidden="false" customHeight="false" outlineLevel="0" collapsed="false">
      <c r="A11" s="6" t="s">
        <v>211</v>
      </c>
      <c r="B11" s="6" t="s">
        <v>213</v>
      </c>
      <c r="C11" s="6" t="s">
        <v>214</v>
      </c>
      <c r="D11" s="6" t="s">
        <v>212</v>
      </c>
      <c r="E11" s="6" t="s">
        <v>1127</v>
      </c>
      <c r="F11" s="6" t="s">
        <v>1128</v>
      </c>
      <c r="G11" s="6" t="s">
        <v>50</v>
      </c>
      <c r="H11" s="6" t="s">
        <v>1111</v>
      </c>
    </row>
    <row r="12" customFormat="false" ht="64.15" hidden="false" customHeight="false" outlineLevel="0" collapsed="false">
      <c r="A12" s="6" t="s">
        <v>227</v>
      </c>
      <c r="B12" s="6" t="s">
        <v>228</v>
      </c>
      <c r="C12" s="6" t="s">
        <v>229</v>
      </c>
      <c r="D12" s="6" t="s">
        <v>186</v>
      </c>
      <c r="E12" s="6" t="s">
        <v>1129</v>
      </c>
      <c r="F12" s="6" t="s">
        <v>1130</v>
      </c>
      <c r="G12" s="6" t="s">
        <v>50</v>
      </c>
      <c r="H12" s="6" t="s">
        <v>1111</v>
      </c>
    </row>
    <row r="13" customFormat="false" ht="53.7" hidden="false" customHeight="false" outlineLevel="0" collapsed="false">
      <c r="A13" s="6" t="s">
        <v>238</v>
      </c>
      <c r="B13" s="6" t="s">
        <v>239</v>
      </c>
      <c r="C13" s="6" t="s">
        <v>240</v>
      </c>
      <c r="D13" s="6" t="s">
        <v>208</v>
      </c>
      <c r="E13" s="6" t="s">
        <v>1131</v>
      </c>
      <c r="F13" s="6" t="s">
        <v>1132</v>
      </c>
      <c r="G13" s="6" t="s">
        <v>50</v>
      </c>
      <c r="H13" s="6" t="s">
        <v>1111</v>
      </c>
    </row>
    <row r="14" customFormat="false" ht="43.25" hidden="false" customHeight="false" outlineLevel="0" collapsed="false">
      <c r="A14" s="6" t="s">
        <v>248</v>
      </c>
      <c r="B14" s="6" t="s">
        <v>249</v>
      </c>
      <c r="C14" s="6" t="s">
        <v>250</v>
      </c>
      <c r="D14" s="6" t="s">
        <v>186</v>
      </c>
      <c r="E14" s="6" t="s">
        <v>1133</v>
      </c>
      <c r="F14" s="6" t="s">
        <v>1134</v>
      </c>
      <c r="G14" s="6" t="s">
        <v>50</v>
      </c>
      <c r="H14" s="6" t="s">
        <v>1111</v>
      </c>
    </row>
    <row r="15" customFormat="false" ht="32.8" hidden="false" customHeight="false" outlineLevel="0" collapsed="false">
      <c r="A15" s="6" t="s">
        <v>263</v>
      </c>
      <c r="B15" s="6" t="s">
        <v>265</v>
      </c>
      <c r="C15" s="6" t="s">
        <v>266</v>
      </c>
      <c r="D15" s="6" t="s">
        <v>264</v>
      </c>
      <c r="E15" s="6" t="s">
        <v>1135</v>
      </c>
      <c r="F15" s="6" t="s">
        <v>1136</v>
      </c>
      <c r="G15" s="6" t="s">
        <v>50</v>
      </c>
      <c r="H15" s="6" t="s">
        <v>1111</v>
      </c>
    </row>
    <row r="16" customFormat="false" ht="43.25" hidden="false" customHeight="false" outlineLevel="0" collapsed="false">
      <c r="A16" s="6" t="s">
        <v>282</v>
      </c>
      <c r="B16" s="6" t="s">
        <v>283</v>
      </c>
      <c r="C16" s="6" t="s">
        <v>284</v>
      </c>
      <c r="D16" s="6" t="s">
        <v>279</v>
      </c>
      <c r="E16" s="6" t="s">
        <v>1137</v>
      </c>
      <c r="F16" s="6" t="s">
        <v>1138</v>
      </c>
      <c r="G16" s="6" t="s">
        <v>50</v>
      </c>
      <c r="H16" s="6" t="s">
        <v>1111</v>
      </c>
    </row>
    <row r="17" customFormat="false" ht="43.25" hidden="false" customHeight="false" outlineLevel="0" collapsed="false">
      <c r="A17" s="6" t="s">
        <v>289</v>
      </c>
      <c r="B17" s="6" t="s">
        <v>291</v>
      </c>
      <c r="C17" s="6" t="s">
        <v>292</v>
      </c>
      <c r="D17" s="6" t="s">
        <v>290</v>
      </c>
      <c r="E17" s="6" t="s">
        <v>1139</v>
      </c>
      <c r="F17" s="6" t="s">
        <v>1140</v>
      </c>
      <c r="G17" s="6" t="s">
        <v>50</v>
      </c>
      <c r="H17" s="6" t="s">
        <v>1111</v>
      </c>
    </row>
    <row r="18" customFormat="false" ht="43.25" hidden="false" customHeight="false" outlineLevel="0" collapsed="false">
      <c r="A18" s="6" t="s">
        <v>293</v>
      </c>
      <c r="B18" s="6" t="s">
        <v>295</v>
      </c>
      <c r="C18" s="6" t="s">
        <v>296</v>
      </c>
      <c r="D18" s="6" t="s">
        <v>294</v>
      </c>
      <c r="E18" s="6" t="s">
        <v>1141</v>
      </c>
      <c r="F18" s="6" t="s">
        <v>1142</v>
      </c>
      <c r="G18" s="6" t="s">
        <v>50</v>
      </c>
      <c r="H18" s="6" t="s">
        <v>1111</v>
      </c>
    </row>
    <row r="19" customFormat="false" ht="43.25" hidden="false" customHeight="false" outlineLevel="0" collapsed="false">
      <c r="A19" s="6" t="s">
        <v>316</v>
      </c>
      <c r="B19" s="6" t="s">
        <v>318</v>
      </c>
      <c r="C19" s="6" t="s">
        <v>319</v>
      </c>
      <c r="D19" s="6" t="s">
        <v>317</v>
      </c>
      <c r="E19" s="6" t="s">
        <v>1143</v>
      </c>
      <c r="F19" s="6" t="s">
        <v>1144</v>
      </c>
      <c r="G19" s="6" t="s">
        <v>50</v>
      </c>
      <c r="H19" s="6" t="s">
        <v>1111</v>
      </c>
    </row>
    <row r="20" customFormat="false" ht="43.25" hidden="false" customHeight="false" outlineLevel="0" collapsed="false">
      <c r="A20" s="6" t="s">
        <v>325</v>
      </c>
      <c r="B20" s="6" t="s">
        <v>327</v>
      </c>
      <c r="C20" s="6" t="s">
        <v>328</v>
      </c>
      <c r="D20" s="6" t="s">
        <v>326</v>
      </c>
      <c r="E20" s="6" t="s">
        <v>1145</v>
      </c>
      <c r="F20" s="6" t="s">
        <v>1146</v>
      </c>
      <c r="G20" s="6" t="s">
        <v>50</v>
      </c>
      <c r="H20" s="6" t="s">
        <v>1111</v>
      </c>
    </row>
    <row r="21" customFormat="false" ht="43.25" hidden="false" customHeight="false" outlineLevel="0" collapsed="false">
      <c r="A21" s="6" t="s">
        <v>336</v>
      </c>
      <c r="B21" s="6" t="s">
        <v>338</v>
      </c>
      <c r="C21" s="6" t="s">
        <v>339</v>
      </c>
      <c r="D21" s="6" t="s">
        <v>337</v>
      </c>
      <c r="E21" s="6" t="s">
        <v>1147</v>
      </c>
      <c r="F21" s="6" t="s">
        <v>1148</v>
      </c>
      <c r="G21" s="6" t="s">
        <v>50</v>
      </c>
      <c r="H21" s="6" t="s">
        <v>1111</v>
      </c>
    </row>
    <row r="22" customFormat="false" ht="53.7" hidden="false" customHeight="false" outlineLevel="0" collapsed="false">
      <c r="A22" s="6" t="s">
        <v>383</v>
      </c>
      <c r="B22" s="6" t="s">
        <v>385</v>
      </c>
      <c r="C22" s="6" t="s">
        <v>386</v>
      </c>
      <c r="D22" s="6" t="s">
        <v>384</v>
      </c>
      <c r="E22" s="6" t="s">
        <v>1149</v>
      </c>
      <c r="F22" s="6" t="s">
        <v>1150</v>
      </c>
      <c r="G22" s="6" t="s">
        <v>50</v>
      </c>
      <c r="H22" s="6" t="s">
        <v>1111</v>
      </c>
    </row>
    <row r="23" customFormat="false" ht="43.25" hidden="false" customHeight="false" outlineLevel="0" collapsed="false">
      <c r="A23" s="6" t="s">
        <v>387</v>
      </c>
      <c r="B23" s="6" t="s">
        <v>389</v>
      </c>
      <c r="C23" s="6" t="s">
        <v>390</v>
      </c>
      <c r="D23" s="6" t="s">
        <v>388</v>
      </c>
      <c r="E23" s="6" t="s">
        <v>1151</v>
      </c>
      <c r="F23" s="6" t="s">
        <v>1152</v>
      </c>
      <c r="G23" s="6" t="s">
        <v>50</v>
      </c>
      <c r="H23" s="6" t="s">
        <v>1111</v>
      </c>
    </row>
    <row r="24" customFormat="false" ht="43.25" hidden="false" customHeight="false" outlineLevel="0" collapsed="false">
      <c r="A24" s="6" t="s">
        <v>391</v>
      </c>
      <c r="B24" s="6" t="s">
        <v>393</v>
      </c>
      <c r="C24" s="6" t="s">
        <v>394</v>
      </c>
      <c r="D24" s="6" t="s">
        <v>392</v>
      </c>
      <c r="E24" s="6" t="s">
        <v>1153</v>
      </c>
      <c r="F24" s="6" t="s">
        <v>1154</v>
      </c>
      <c r="G24" s="6" t="s">
        <v>50</v>
      </c>
      <c r="H24" s="6" t="s">
        <v>1111</v>
      </c>
    </row>
    <row r="25" customFormat="false" ht="95.5" hidden="false" customHeight="false" outlineLevel="0" collapsed="false">
      <c r="A25" s="6" t="s">
        <v>395</v>
      </c>
      <c r="B25" s="6" t="s">
        <v>397</v>
      </c>
      <c r="C25" s="6" t="s">
        <v>398</v>
      </c>
      <c r="D25" s="6" t="s">
        <v>396</v>
      </c>
      <c r="E25" s="6" t="s">
        <v>1155</v>
      </c>
      <c r="F25" s="6" t="s">
        <v>1156</v>
      </c>
      <c r="G25" s="6" t="s">
        <v>50</v>
      </c>
      <c r="H25" s="6" t="s">
        <v>1111</v>
      </c>
    </row>
    <row r="26" customFormat="false" ht="53.7" hidden="false" customHeight="false" outlineLevel="0" collapsed="false">
      <c r="A26" s="6" t="s">
        <v>451</v>
      </c>
      <c r="B26" s="6" t="s">
        <v>453</v>
      </c>
      <c r="C26" s="6" t="s">
        <v>454</v>
      </c>
      <c r="D26" s="6" t="s">
        <v>452</v>
      </c>
      <c r="E26" s="6" t="s">
        <v>1157</v>
      </c>
      <c r="F26" s="6" t="s">
        <v>1158</v>
      </c>
      <c r="G26" s="6" t="s">
        <v>50</v>
      </c>
      <c r="H26" s="6" t="s">
        <v>1111</v>
      </c>
    </row>
    <row r="27" customFormat="false" ht="43.25" hidden="false" customHeight="false" outlineLevel="0" collapsed="false">
      <c r="A27" s="6" t="s">
        <v>463</v>
      </c>
      <c r="B27" s="6" t="s">
        <v>465</v>
      </c>
      <c r="C27" s="6" t="s">
        <v>466</v>
      </c>
      <c r="D27" s="6" t="s">
        <v>464</v>
      </c>
      <c r="E27" s="6" t="s">
        <v>1159</v>
      </c>
      <c r="F27" s="6" t="s">
        <v>1160</v>
      </c>
      <c r="G27" s="6" t="s">
        <v>50</v>
      </c>
      <c r="H27" s="6" t="s">
        <v>1111</v>
      </c>
    </row>
    <row r="28" customFormat="false" ht="43.25" hidden="false" customHeight="false" outlineLevel="0" collapsed="false">
      <c r="A28" s="6" t="s">
        <v>467</v>
      </c>
      <c r="B28" s="6" t="s">
        <v>469</v>
      </c>
      <c r="C28" s="6" t="s">
        <v>470</v>
      </c>
      <c r="D28" s="6" t="s">
        <v>468</v>
      </c>
      <c r="E28" s="6" t="s">
        <v>1161</v>
      </c>
      <c r="F28" s="6" t="s">
        <v>1162</v>
      </c>
      <c r="G28" s="6" t="s">
        <v>50</v>
      </c>
      <c r="H28" s="6" t="s">
        <v>1111</v>
      </c>
    </row>
    <row r="29" customFormat="false" ht="43.25" hidden="false" customHeight="false" outlineLevel="0" collapsed="false">
      <c r="A29" s="6" t="s">
        <v>644</v>
      </c>
      <c r="B29" s="6" t="s">
        <v>645</v>
      </c>
      <c r="C29" s="6" t="s">
        <v>646</v>
      </c>
      <c r="D29" s="6" t="s">
        <v>392</v>
      </c>
      <c r="E29" s="6" t="s">
        <v>1163</v>
      </c>
      <c r="F29" s="6" t="s">
        <v>1164</v>
      </c>
      <c r="G29" s="6" t="s">
        <v>50</v>
      </c>
      <c r="H29" s="6" t="s">
        <v>1111</v>
      </c>
    </row>
    <row r="30" customFormat="false" ht="43.25" hidden="false" customHeight="false" outlineLevel="0" collapsed="false">
      <c r="A30" s="6" t="s">
        <v>650</v>
      </c>
      <c r="B30" s="6" t="s">
        <v>652</v>
      </c>
      <c r="C30" s="6" t="s">
        <v>653</v>
      </c>
      <c r="D30" s="6" t="s">
        <v>651</v>
      </c>
      <c r="E30" s="6" t="s">
        <v>1165</v>
      </c>
      <c r="F30" s="6" t="s">
        <v>1166</v>
      </c>
      <c r="G30" s="6" t="s">
        <v>50</v>
      </c>
      <c r="H30" s="6" t="s">
        <v>1111</v>
      </c>
    </row>
    <row r="31" customFormat="false" ht="53.7" hidden="false" customHeight="false" outlineLevel="0" collapsed="false">
      <c r="A31" s="6" t="s">
        <v>770</v>
      </c>
      <c r="B31" s="6" t="s">
        <v>772</v>
      </c>
      <c r="C31" s="6" t="s">
        <v>773</v>
      </c>
      <c r="D31" s="6" t="s">
        <v>771</v>
      </c>
      <c r="E31" s="6" t="s">
        <v>1167</v>
      </c>
      <c r="F31" s="6" t="s">
        <v>1168</v>
      </c>
      <c r="G31" s="6" t="s">
        <v>50</v>
      </c>
      <c r="H31" s="6" t="s">
        <v>1111</v>
      </c>
    </row>
    <row r="32" customFormat="false" ht="43.25" hidden="false" customHeight="false" outlineLevel="0" collapsed="false">
      <c r="A32" s="6" t="s">
        <v>777</v>
      </c>
      <c r="B32" s="6" t="s">
        <v>779</v>
      </c>
      <c r="C32" s="6" t="s">
        <v>780</v>
      </c>
      <c r="D32" s="6" t="s">
        <v>778</v>
      </c>
      <c r="E32" s="6" t="s">
        <v>1169</v>
      </c>
      <c r="F32" s="6" t="s">
        <v>1170</v>
      </c>
      <c r="G32" s="6" t="s">
        <v>50</v>
      </c>
      <c r="H32" s="6" t="s">
        <v>1111</v>
      </c>
    </row>
    <row r="33" customFormat="false" ht="43.25" hidden="false" customHeight="false" outlineLevel="0" collapsed="false">
      <c r="A33" s="6" t="s">
        <v>788</v>
      </c>
      <c r="B33" s="6" t="s">
        <v>790</v>
      </c>
      <c r="C33" s="6" t="s">
        <v>791</v>
      </c>
      <c r="D33" s="6" t="s">
        <v>789</v>
      </c>
      <c r="E33" s="6" t="s">
        <v>1171</v>
      </c>
      <c r="F33" s="6" t="s">
        <v>1172</v>
      </c>
      <c r="G33" s="6" t="s">
        <v>50</v>
      </c>
      <c r="H33" s="6" t="s">
        <v>1111</v>
      </c>
    </row>
    <row r="34" customFormat="false" ht="64.15" hidden="false" customHeight="false" outlineLevel="0" collapsed="false">
      <c r="A34" s="6" t="s">
        <v>808</v>
      </c>
      <c r="B34" s="6" t="s">
        <v>810</v>
      </c>
      <c r="C34" s="6" t="s">
        <v>811</v>
      </c>
      <c r="D34" s="6" t="s">
        <v>809</v>
      </c>
      <c r="E34" s="6" t="s">
        <v>1173</v>
      </c>
      <c r="F34" s="6" t="s">
        <v>1174</v>
      </c>
      <c r="G34" s="6" t="s">
        <v>50</v>
      </c>
      <c r="H34" s="6" t="s">
        <v>1111</v>
      </c>
    </row>
    <row r="35" customFormat="false" ht="74.6" hidden="false" customHeight="false" outlineLevel="0" collapsed="false">
      <c r="A35" s="6" t="s">
        <v>843</v>
      </c>
      <c r="B35" s="6" t="s">
        <v>845</v>
      </c>
      <c r="C35" s="6" t="s">
        <v>846</v>
      </c>
      <c r="D35" s="6" t="s">
        <v>844</v>
      </c>
      <c r="E35" s="6" t="s">
        <v>1175</v>
      </c>
      <c r="F35" s="6" t="s">
        <v>1176</v>
      </c>
      <c r="G35" s="6" t="s">
        <v>50</v>
      </c>
      <c r="H35" s="6" t="s">
        <v>1111</v>
      </c>
    </row>
  </sheetData>
  <autoFilter ref="A1:H3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0"/>
    <col collapsed="false" customWidth="true" hidden="false" outlineLevel="0" max="3" min="3" style="0" width="40"/>
    <col collapsed="false" customWidth="true" hidden="false" outlineLevel="0" max="4" min="4" style="0" width="14"/>
  </cols>
  <sheetData>
    <row r="1" customFormat="false" ht="32.8" hidden="false" customHeight="false" outlineLevel="0" collapsed="false">
      <c r="A1" s="5" t="s">
        <v>1177</v>
      </c>
      <c r="B1" s="5" t="s">
        <v>1178</v>
      </c>
      <c r="C1" s="5" t="s">
        <v>1179</v>
      </c>
      <c r="D1" s="5" t="s">
        <v>1180</v>
      </c>
    </row>
    <row r="2" customFormat="false" ht="15" hidden="false" customHeight="false" outlineLevel="0" collapsed="false">
      <c r="A2" s="6" t="s">
        <v>23</v>
      </c>
      <c r="B2" s="6" t="s">
        <v>1181</v>
      </c>
      <c r="C2" s="6" t="s">
        <v>1182</v>
      </c>
      <c r="D2" s="6" t="n">
        <v>17</v>
      </c>
    </row>
    <row r="3" customFormat="false" ht="15" hidden="false" customHeight="false" outlineLevel="0" collapsed="false">
      <c r="A3" s="6" t="s">
        <v>23</v>
      </c>
      <c r="B3" s="6" t="s">
        <v>1183</v>
      </c>
      <c r="C3" s="6" t="s">
        <v>1182</v>
      </c>
      <c r="D3" s="6" t="n">
        <v>3</v>
      </c>
    </row>
    <row r="4" customFormat="false" ht="15" hidden="false" customHeight="false" outlineLevel="0" collapsed="false">
      <c r="A4" s="6" t="s">
        <v>23</v>
      </c>
      <c r="B4" s="6" t="s">
        <v>1184</v>
      </c>
      <c r="C4" s="6" t="s">
        <v>1182</v>
      </c>
      <c r="D4" s="6" t="n">
        <v>3</v>
      </c>
    </row>
    <row r="5" customFormat="false" ht="15" hidden="false" customHeight="false" outlineLevel="0" collapsed="false">
      <c r="A5" s="6" t="s">
        <v>23</v>
      </c>
      <c r="B5" s="6" t="s">
        <v>1185</v>
      </c>
      <c r="C5" s="6" t="s">
        <v>1182</v>
      </c>
      <c r="D5" s="6" t="n">
        <v>2</v>
      </c>
    </row>
    <row r="6" customFormat="false" ht="15" hidden="false" customHeight="false" outlineLevel="0" collapsed="false">
      <c r="A6" s="6" t="s">
        <v>23</v>
      </c>
      <c r="B6" s="6" t="s">
        <v>1186</v>
      </c>
      <c r="C6" s="6" t="s">
        <v>1182</v>
      </c>
      <c r="D6" s="6" t="n">
        <v>2</v>
      </c>
    </row>
    <row r="7" customFormat="false" ht="15" hidden="false" customHeight="false" outlineLevel="0" collapsed="false">
      <c r="A7" s="6" t="s">
        <v>23</v>
      </c>
      <c r="B7" s="6" t="s">
        <v>1187</v>
      </c>
      <c r="C7" s="6" t="s">
        <v>1182</v>
      </c>
      <c r="D7" s="6" t="n">
        <v>1</v>
      </c>
    </row>
    <row r="8" customFormat="false" ht="15" hidden="false" customHeight="false" outlineLevel="0" collapsed="false">
      <c r="A8" s="6" t="s">
        <v>23</v>
      </c>
      <c r="B8" s="6" t="s">
        <v>1188</v>
      </c>
      <c r="C8" s="6" t="s">
        <v>1182</v>
      </c>
      <c r="D8" s="6" t="n">
        <v>1</v>
      </c>
    </row>
    <row r="9" customFormat="false" ht="15" hidden="false" customHeight="false" outlineLevel="0" collapsed="false">
      <c r="A9" s="6" t="s">
        <v>23</v>
      </c>
      <c r="B9" s="6" t="s">
        <v>1189</v>
      </c>
      <c r="C9" s="6" t="s">
        <v>1182</v>
      </c>
      <c r="D9" s="6" t="n">
        <v>1</v>
      </c>
    </row>
    <row r="10" customFormat="false" ht="15" hidden="false" customHeight="false" outlineLevel="0" collapsed="false">
      <c r="A10" s="6" t="s">
        <v>23</v>
      </c>
      <c r="B10" s="6" t="s">
        <v>1190</v>
      </c>
      <c r="C10" s="6" t="s">
        <v>1182</v>
      </c>
      <c r="D10" s="6" t="n">
        <v>1</v>
      </c>
    </row>
    <row r="11" customFormat="false" ht="15" hidden="false" customHeight="false" outlineLevel="0" collapsed="false">
      <c r="A11" s="6" t="s">
        <v>23</v>
      </c>
      <c r="B11" s="6" t="s">
        <v>1191</v>
      </c>
      <c r="C11" s="6" t="s">
        <v>1182</v>
      </c>
      <c r="D11" s="6" t="n">
        <v>1</v>
      </c>
    </row>
    <row r="12" customFormat="false" ht="15" hidden="false" customHeight="false" outlineLevel="0" collapsed="false">
      <c r="A12" s="6" t="s">
        <v>23</v>
      </c>
      <c r="B12" s="6" t="s">
        <v>1192</v>
      </c>
      <c r="C12" s="6" t="s">
        <v>1182</v>
      </c>
      <c r="D12" s="6" t="n">
        <v>1</v>
      </c>
    </row>
    <row r="13" customFormat="false" ht="15" hidden="false" customHeight="false" outlineLevel="0" collapsed="false">
      <c r="A13" s="6" t="s">
        <v>23</v>
      </c>
      <c r="B13" s="6" t="s">
        <v>1193</v>
      </c>
      <c r="C13" s="6" t="s">
        <v>1182</v>
      </c>
      <c r="D13" s="6" t="n">
        <v>1</v>
      </c>
    </row>
    <row r="14" customFormat="false" ht="15" hidden="false" customHeight="false" outlineLevel="0" collapsed="false">
      <c r="A14" s="6" t="s">
        <v>23</v>
      </c>
      <c r="B14" s="6" t="s">
        <v>1194</v>
      </c>
      <c r="C14" s="6" t="s">
        <v>1182</v>
      </c>
      <c r="D14" s="6" t="n">
        <v>1</v>
      </c>
    </row>
    <row r="15" customFormat="false" ht="15" hidden="false" customHeight="false" outlineLevel="0" collapsed="false">
      <c r="A15" s="6" t="s">
        <v>23</v>
      </c>
      <c r="B15" s="6" t="s">
        <v>1195</v>
      </c>
      <c r="C15" s="6" t="s">
        <v>1182</v>
      </c>
      <c r="D15" s="6" t="n">
        <v>1</v>
      </c>
    </row>
    <row r="16" customFormat="false" ht="15" hidden="false" customHeight="false" outlineLevel="0" collapsed="false">
      <c r="A16" s="6" t="s">
        <v>23</v>
      </c>
      <c r="B16" s="6" t="s">
        <v>1196</v>
      </c>
      <c r="C16" s="6" t="s">
        <v>1182</v>
      </c>
      <c r="D16" s="6" t="n">
        <v>1</v>
      </c>
    </row>
    <row r="17" customFormat="false" ht="15" hidden="false" customHeight="false" outlineLevel="0" collapsed="false">
      <c r="A17" s="6" t="s">
        <v>23</v>
      </c>
      <c r="B17" s="6" t="s">
        <v>1197</v>
      </c>
      <c r="C17" s="6" t="s">
        <v>1182</v>
      </c>
      <c r="D17" s="6" t="n">
        <v>1</v>
      </c>
    </row>
    <row r="18" customFormat="false" ht="15" hidden="false" customHeight="false" outlineLevel="0" collapsed="false">
      <c r="A18" s="6" t="s">
        <v>23</v>
      </c>
      <c r="B18" s="6" t="s">
        <v>1198</v>
      </c>
      <c r="C18" s="6" t="s">
        <v>1182</v>
      </c>
      <c r="D18" s="6" t="n">
        <v>1</v>
      </c>
    </row>
    <row r="19" customFormat="false" ht="15" hidden="false" customHeight="false" outlineLevel="0" collapsed="false">
      <c r="A19" s="6" t="s">
        <v>23</v>
      </c>
      <c r="B19" s="6" t="s">
        <v>1199</v>
      </c>
      <c r="C19" s="6" t="s">
        <v>1182</v>
      </c>
      <c r="D19" s="6" t="n">
        <v>1</v>
      </c>
    </row>
    <row r="20" customFormat="false" ht="15" hidden="false" customHeight="false" outlineLevel="0" collapsed="false">
      <c r="A20" s="6" t="s">
        <v>23</v>
      </c>
      <c r="B20" s="6" t="s">
        <v>1200</v>
      </c>
      <c r="C20" s="6" t="s">
        <v>1182</v>
      </c>
      <c r="D20" s="6" t="n">
        <v>1</v>
      </c>
    </row>
    <row r="21" customFormat="false" ht="15" hidden="false" customHeight="false" outlineLevel="0" collapsed="false">
      <c r="A21" s="6" t="s">
        <v>23</v>
      </c>
      <c r="B21" s="6" t="s">
        <v>1201</v>
      </c>
      <c r="C21" s="6" t="s">
        <v>1182</v>
      </c>
      <c r="D21" s="6" t="n">
        <v>1</v>
      </c>
    </row>
    <row r="22" customFormat="false" ht="15" hidden="false" customHeight="false" outlineLevel="0" collapsed="false">
      <c r="A22" s="6" t="s">
        <v>23</v>
      </c>
      <c r="B22" s="6" t="s">
        <v>1202</v>
      </c>
      <c r="C22" s="6" t="s">
        <v>1182</v>
      </c>
      <c r="D22" s="6" t="n">
        <v>1</v>
      </c>
    </row>
    <row r="23" customFormat="false" ht="15" hidden="false" customHeight="false" outlineLevel="0" collapsed="false">
      <c r="A23" s="6" t="s">
        <v>23</v>
      </c>
      <c r="B23" s="6" t="s">
        <v>1203</v>
      </c>
      <c r="C23" s="6" t="s">
        <v>1182</v>
      </c>
      <c r="D23" s="6" t="n">
        <v>1</v>
      </c>
    </row>
    <row r="24" customFormat="false" ht="15" hidden="false" customHeight="false" outlineLevel="0" collapsed="false">
      <c r="A24" s="6" t="s">
        <v>23</v>
      </c>
      <c r="B24" s="6" t="s">
        <v>1204</v>
      </c>
      <c r="C24" s="6" t="s">
        <v>1182</v>
      </c>
      <c r="D24" s="6" t="n">
        <v>1</v>
      </c>
    </row>
    <row r="25" customFormat="false" ht="15" hidden="false" customHeight="false" outlineLevel="0" collapsed="false">
      <c r="A25" s="6" t="s">
        <v>23</v>
      </c>
      <c r="B25" s="6" t="s">
        <v>1205</v>
      </c>
      <c r="C25" s="6" t="s">
        <v>1182</v>
      </c>
      <c r="D25" s="6" t="n">
        <v>1</v>
      </c>
    </row>
    <row r="26" customFormat="false" ht="15" hidden="false" customHeight="false" outlineLevel="0" collapsed="false">
      <c r="A26" s="6" t="s">
        <v>23</v>
      </c>
      <c r="B26" s="6" t="s">
        <v>1206</v>
      </c>
      <c r="C26" s="6" t="s">
        <v>1182</v>
      </c>
      <c r="D26" s="6" t="n">
        <v>1</v>
      </c>
    </row>
    <row r="27" customFormat="false" ht="53.7" hidden="false" customHeight="false" outlineLevel="0" collapsed="false">
      <c r="A27" s="6" t="s">
        <v>1207</v>
      </c>
      <c r="B27" s="6" t="s">
        <v>1208</v>
      </c>
      <c r="C27" s="6" t="s">
        <v>1182</v>
      </c>
      <c r="D27" s="6" t="n">
        <v>5</v>
      </c>
    </row>
    <row r="28" customFormat="false" ht="15" hidden="false" customHeight="false" outlineLevel="0" collapsed="false">
      <c r="A28" s="6" t="s">
        <v>1207</v>
      </c>
      <c r="B28" s="6" t="s">
        <v>1181</v>
      </c>
      <c r="C28" s="6" t="s">
        <v>1182</v>
      </c>
      <c r="D28" s="6" t="n">
        <v>3</v>
      </c>
    </row>
    <row r="29" customFormat="false" ht="15" hidden="false" customHeight="false" outlineLevel="0" collapsed="false">
      <c r="A29" s="6" t="s">
        <v>1207</v>
      </c>
      <c r="B29" s="6" t="s">
        <v>1209</v>
      </c>
      <c r="C29" s="6" t="s">
        <v>1182</v>
      </c>
      <c r="D29" s="6" t="n">
        <v>1</v>
      </c>
    </row>
    <row r="30" customFormat="false" ht="15" hidden="false" customHeight="false" outlineLevel="0" collapsed="false">
      <c r="A30" s="6" t="s">
        <v>1207</v>
      </c>
      <c r="B30" s="6" t="s">
        <v>1210</v>
      </c>
      <c r="C30" s="6" t="s">
        <v>1182</v>
      </c>
      <c r="D30" s="6" t="n">
        <v>1</v>
      </c>
    </row>
    <row r="31" customFormat="false" ht="15" hidden="false" customHeight="false" outlineLevel="0" collapsed="false">
      <c r="A31" s="6" t="s">
        <v>1207</v>
      </c>
      <c r="B31" s="6" t="s">
        <v>1211</v>
      </c>
      <c r="C31" s="6" t="s">
        <v>1182</v>
      </c>
      <c r="D31" s="6" t="n">
        <v>1</v>
      </c>
    </row>
    <row r="32" customFormat="false" ht="22.35" hidden="false" customHeight="false" outlineLevel="0" collapsed="false">
      <c r="A32" s="6" t="s">
        <v>1207</v>
      </c>
      <c r="B32" s="6" t="s">
        <v>1212</v>
      </c>
      <c r="C32" s="6" t="s">
        <v>1182</v>
      </c>
      <c r="D32" s="6" t="n">
        <v>1</v>
      </c>
    </row>
    <row r="33" customFormat="false" ht="22.35" hidden="false" customHeight="false" outlineLevel="0" collapsed="false">
      <c r="A33" s="6" t="s">
        <v>1207</v>
      </c>
      <c r="B33" s="6" t="s">
        <v>1213</v>
      </c>
      <c r="C33" s="6" t="s">
        <v>1182</v>
      </c>
      <c r="D33" s="6" t="n">
        <v>1</v>
      </c>
    </row>
    <row r="34" customFormat="false" ht="15" hidden="false" customHeight="false" outlineLevel="0" collapsed="false">
      <c r="A34" s="6" t="s">
        <v>1207</v>
      </c>
      <c r="B34" s="6" t="s">
        <v>1214</v>
      </c>
      <c r="C34" s="6" t="s">
        <v>1182</v>
      </c>
      <c r="D34" s="6" t="n">
        <v>1</v>
      </c>
    </row>
    <row r="35" customFormat="false" ht="15" hidden="false" customHeight="false" outlineLevel="0" collapsed="false">
      <c r="A35" s="6" t="s">
        <v>1207</v>
      </c>
      <c r="B35" s="6" t="s">
        <v>1215</v>
      </c>
      <c r="C35" s="6" t="s">
        <v>1182</v>
      </c>
      <c r="D35" s="6" t="n">
        <v>1</v>
      </c>
    </row>
    <row r="36" customFormat="false" ht="15" hidden="false" customHeight="false" outlineLevel="0" collapsed="false">
      <c r="A36" s="6" t="s">
        <v>1207</v>
      </c>
      <c r="B36" s="6" t="s">
        <v>1216</v>
      </c>
      <c r="C36" s="6" t="s">
        <v>1182</v>
      </c>
      <c r="D36" s="6" t="n">
        <v>1</v>
      </c>
    </row>
    <row r="37" customFormat="false" ht="15" hidden="false" customHeight="false" outlineLevel="0" collapsed="false">
      <c r="A37" s="6" t="s">
        <v>1207</v>
      </c>
      <c r="B37" s="6" t="s">
        <v>1217</v>
      </c>
      <c r="C37" s="6" t="s">
        <v>1182</v>
      </c>
      <c r="D37" s="6" t="n">
        <v>1</v>
      </c>
    </row>
    <row r="38" customFormat="false" ht="22.35" hidden="false" customHeight="false" outlineLevel="0" collapsed="false">
      <c r="A38" s="6" t="s">
        <v>1207</v>
      </c>
      <c r="B38" s="6" t="s">
        <v>1218</v>
      </c>
      <c r="C38" s="6" t="s">
        <v>1182</v>
      </c>
      <c r="D38" s="6" t="n">
        <v>1</v>
      </c>
    </row>
    <row r="39" customFormat="false" ht="15" hidden="false" customHeight="false" outlineLevel="0" collapsed="false">
      <c r="A39" s="6" t="s">
        <v>1207</v>
      </c>
      <c r="B39" s="6" t="s">
        <v>1219</v>
      </c>
      <c r="C39" s="6" t="s">
        <v>1182</v>
      </c>
      <c r="D39" s="6" t="n">
        <v>1</v>
      </c>
    </row>
    <row r="40" customFormat="false" ht="15" hidden="false" customHeight="false" outlineLevel="0" collapsed="false">
      <c r="A40" s="6" t="s">
        <v>1207</v>
      </c>
      <c r="B40" s="6" t="s">
        <v>1220</v>
      </c>
      <c r="C40" s="6" t="s">
        <v>1182</v>
      </c>
      <c r="D40" s="6" t="n">
        <v>1</v>
      </c>
    </row>
    <row r="41" customFormat="false" ht="22.35" hidden="false" customHeight="false" outlineLevel="0" collapsed="false">
      <c r="A41" s="6" t="s">
        <v>22</v>
      </c>
      <c r="B41" s="6" t="s">
        <v>1221</v>
      </c>
      <c r="C41" s="6" t="s">
        <v>1222</v>
      </c>
      <c r="D41" s="6" t="n">
        <v>11</v>
      </c>
    </row>
    <row r="42" customFormat="false" ht="15" hidden="false" customHeight="false" outlineLevel="0" collapsed="false">
      <c r="A42" s="6" t="s">
        <v>22</v>
      </c>
      <c r="B42" s="6" t="s">
        <v>1181</v>
      </c>
      <c r="C42" s="6" t="s">
        <v>1182</v>
      </c>
      <c r="D42" s="6" t="n">
        <v>11</v>
      </c>
    </row>
    <row r="43" customFormat="false" ht="22.35" hidden="false" customHeight="false" outlineLevel="0" collapsed="false">
      <c r="A43" s="6" t="s">
        <v>22</v>
      </c>
      <c r="B43" s="6" t="s">
        <v>1223</v>
      </c>
      <c r="C43" s="6" t="s">
        <v>1224</v>
      </c>
      <c r="D43" s="6" t="n">
        <v>8</v>
      </c>
    </row>
    <row r="44" customFormat="false" ht="22.35" hidden="false" customHeight="false" outlineLevel="0" collapsed="false">
      <c r="A44" s="6" t="s">
        <v>22</v>
      </c>
      <c r="B44" s="6" t="s">
        <v>1225</v>
      </c>
      <c r="C44" s="6" t="s">
        <v>1222</v>
      </c>
      <c r="D44" s="6" t="n">
        <v>6</v>
      </c>
    </row>
    <row r="45" customFormat="false" ht="15" hidden="false" customHeight="false" outlineLevel="0" collapsed="false">
      <c r="A45" s="6" t="s">
        <v>22</v>
      </c>
      <c r="B45" s="6" t="s">
        <v>1226</v>
      </c>
      <c r="C45" s="6" t="s">
        <v>1182</v>
      </c>
      <c r="D45" s="6" t="n">
        <v>3</v>
      </c>
    </row>
    <row r="46" customFormat="false" ht="15" hidden="false" customHeight="false" outlineLevel="0" collapsed="false">
      <c r="A46" s="6" t="s">
        <v>22</v>
      </c>
      <c r="B46" s="6" t="s">
        <v>1227</v>
      </c>
      <c r="C46" s="6" t="s">
        <v>1182</v>
      </c>
      <c r="D46" s="6" t="n">
        <v>1</v>
      </c>
    </row>
    <row r="47" customFormat="false" ht="22.35" hidden="false" customHeight="false" outlineLevel="0" collapsed="false">
      <c r="A47" s="6" t="s">
        <v>22</v>
      </c>
      <c r="B47" s="6" t="s">
        <v>1228</v>
      </c>
      <c r="C47" s="6" t="s">
        <v>1222</v>
      </c>
      <c r="D47" s="6" t="n">
        <v>1</v>
      </c>
    </row>
    <row r="48" customFormat="false" ht="22.35" hidden="false" customHeight="false" outlineLevel="0" collapsed="false">
      <c r="A48" s="6" t="s">
        <v>21</v>
      </c>
      <c r="B48" s="6" t="s">
        <v>1229</v>
      </c>
      <c r="C48" s="6" t="s">
        <v>1224</v>
      </c>
      <c r="D48" s="6" t="n">
        <v>30</v>
      </c>
    </row>
    <row r="49" customFormat="false" ht="15" hidden="false" customHeight="false" outlineLevel="0" collapsed="false">
      <c r="A49" s="6" t="s">
        <v>21</v>
      </c>
      <c r="B49" s="6" t="s">
        <v>1230</v>
      </c>
      <c r="C49" s="6" t="s">
        <v>1182</v>
      </c>
      <c r="D49" s="6" t="n">
        <v>21</v>
      </c>
    </row>
    <row r="50" customFormat="false" ht="15" hidden="false" customHeight="false" outlineLevel="0" collapsed="false">
      <c r="A50" s="6" t="s">
        <v>21</v>
      </c>
      <c r="B50" s="6" t="s">
        <v>1181</v>
      </c>
      <c r="C50" s="6" t="s">
        <v>1182</v>
      </c>
      <c r="D50" s="6" t="n">
        <v>8</v>
      </c>
    </row>
    <row r="51" customFormat="false" ht="22.35" hidden="false" customHeight="false" outlineLevel="0" collapsed="false">
      <c r="A51" s="6" t="s">
        <v>21</v>
      </c>
      <c r="B51" s="6" t="s">
        <v>1231</v>
      </c>
      <c r="C51" s="6" t="s">
        <v>1224</v>
      </c>
      <c r="D51" s="6" t="n">
        <v>8</v>
      </c>
    </row>
    <row r="52" customFormat="false" ht="22.35" hidden="false" customHeight="false" outlineLevel="0" collapsed="false">
      <c r="A52" s="6" t="s">
        <v>21</v>
      </c>
      <c r="B52" s="6" t="s">
        <v>1232</v>
      </c>
      <c r="C52" s="6" t="s">
        <v>1222</v>
      </c>
      <c r="D52" s="6" t="n">
        <v>6</v>
      </c>
    </row>
    <row r="53" customFormat="false" ht="22.35" hidden="false" customHeight="false" outlineLevel="0" collapsed="false">
      <c r="A53" s="6" t="s">
        <v>21</v>
      </c>
      <c r="B53" s="6" t="s">
        <v>1225</v>
      </c>
      <c r="C53" s="6" t="s">
        <v>1222</v>
      </c>
      <c r="D53" s="6" t="n">
        <v>4</v>
      </c>
    </row>
    <row r="54" customFormat="false" ht="22.35" hidden="false" customHeight="false" outlineLevel="0" collapsed="false">
      <c r="A54" s="6" t="s">
        <v>21</v>
      </c>
      <c r="B54" s="6" t="s">
        <v>1233</v>
      </c>
      <c r="C54" s="6" t="s">
        <v>1222</v>
      </c>
      <c r="D54" s="6" t="n">
        <v>4</v>
      </c>
    </row>
    <row r="55" customFormat="false" ht="22.35" hidden="false" customHeight="false" outlineLevel="0" collapsed="false">
      <c r="A55" s="6" t="s">
        <v>21</v>
      </c>
      <c r="B55" s="6" t="s">
        <v>1234</v>
      </c>
      <c r="C55" s="6" t="s">
        <v>1222</v>
      </c>
      <c r="D55" s="6" t="n">
        <v>3</v>
      </c>
    </row>
    <row r="56" customFormat="false" ht="22.35" hidden="false" customHeight="false" outlineLevel="0" collapsed="false">
      <c r="A56" s="6" t="s">
        <v>21</v>
      </c>
      <c r="B56" s="6" t="s">
        <v>1235</v>
      </c>
      <c r="C56" s="6" t="s">
        <v>1224</v>
      </c>
      <c r="D56" s="6" t="n">
        <v>3</v>
      </c>
    </row>
    <row r="57" customFormat="false" ht="15" hidden="false" customHeight="false" outlineLevel="0" collapsed="false">
      <c r="A57" s="6" t="s">
        <v>21</v>
      </c>
      <c r="B57" s="6" t="s">
        <v>1236</v>
      </c>
      <c r="C57" s="6" t="s">
        <v>1182</v>
      </c>
      <c r="D57" s="6" t="n">
        <v>2</v>
      </c>
    </row>
    <row r="58" customFormat="false" ht="22.35" hidden="false" customHeight="false" outlineLevel="0" collapsed="false">
      <c r="A58" s="6" t="s">
        <v>21</v>
      </c>
      <c r="B58" s="6" t="s">
        <v>1237</v>
      </c>
      <c r="C58" s="6" t="s">
        <v>1224</v>
      </c>
      <c r="D58" s="6" t="n">
        <v>2</v>
      </c>
    </row>
    <row r="59" customFormat="false" ht="22.35" hidden="false" customHeight="false" outlineLevel="0" collapsed="false">
      <c r="A59" s="6" t="s">
        <v>21</v>
      </c>
      <c r="B59" s="6" t="s">
        <v>1238</v>
      </c>
      <c r="C59" s="6" t="s">
        <v>1224</v>
      </c>
      <c r="D59" s="6" t="n">
        <v>2</v>
      </c>
    </row>
    <row r="60" customFormat="false" ht="15" hidden="false" customHeight="false" outlineLevel="0" collapsed="false">
      <c r="A60" s="6" t="s">
        <v>21</v>
      </c>
      <c r="B60" s="6" t="s">
        <v>1239</v>
      </c>
      <c r="C60" s="6" t="s">
        <v>1240</v>
      </c>
      <c r="D60" s="6" t="n">
        <v>2</v>
      </c>
    </row>
    <row r="61" customFormat="false" ht="22.35" hidden="false" customHeight="false" outlineLevel="0" collapsed="false">
      <c r="A61" s="6" t="s">
        <v>21</v>
      </c>
      <c r="B61" s="6" t="s">
        <v>1241</v>
      </c>
      <c r="C61" s="6" t="s">
        <v>1224</v>
      </c>
      <c r="D61" s="6" t="n">
        <v>2</v>
      </c>
    </row>
    <row r="62" customFormat="false" ht="15" hidden="false" customHeight="false" outlineLevel="0" collapsed="false">
      <c r="A62" s="6" t="s">
        <v>21</v>
      </c>
      <c r="B62" s="6" t="s">
        <v>1242</v>
      </c>
      <c r="C62" s="6" t="s">
        <v>1182</v>
      </c>
      <c r="D62" s="6" t="n">
        <v>1</v>
      </c>
    </row>
    <row r="63" customFormat="false" ht="15" hidden="false" customHeight="false" outlineLevel="0" collapsed="false">
      <c r="A63" s="6" t="s">
        <v>21</v>
      </c>
      <c r="B63" s="6" t="s">
        <v>1243</v>
      </c>
      <c r="C63" s="6" t="s">
        <v>1182</v>
      </c>
      <c r="D63" s="6" t="n">
        <v>1</v>
      </c>
    </row>
    <row r="64" customFormat="false" ht="22.35" hidden="false" customHeight="false" outlineLevel="0" collapsed="false">
      <c r="A64" s="6" t="s">
        <v>21</v>
      </c>
      <c r="B64" s="6" t="s">
        <v>1244</v>
      </c>
      <c r="C64" s="6" t="s">
        <v>1224</v>
      </c>
      <c r="D64" s="6" t="n">
        <v>1</v>
      </c>
    </row>
  </sheetData>
  <autoFilter ref="A1:D6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2026-09-20T21:25:51Z</dcterms:created>
  <dc:creator>openpyxl</dc:creator>
  <dc:description/>
  <dc:language>en-US</dc:language>
  <cp:lastModifiedBy/>
  <dcterms:modified xsi:type="dcterms:W3CDTF">2026-09-20T21:25:51Z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