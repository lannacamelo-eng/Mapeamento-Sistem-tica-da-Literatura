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o - Extração de Dados" sheetId="1" r:id="rId5"/>
    <sheet state="visible" name="PROTOCOLO ANTIGO" sheetId="2" r:id="rId6"/>
    <sheet state="visible" name="Resumo - Pesquisador" sheetId="3" r:id="rId7"/>
    <sheet state="visible" name="Resumo - 2ª Revisão" sheetId="4" r:id="rId8"/>
    <sheet state="visible" name="Resumo - 3ª Revisão" sheetId="5" r:id="rId9"/>
    <sheet state="visible" name="Resumo - Faltantes Sugeridos" sheetId="6" r:id="rId10"/>
    <sheet state="visible" name="Cópia de NOTAS TÉCNICAS" sheetId="7" r:id="rId11"/>
    <sheet state="visible" name="Cópia de NT Rede CNJ" sheetId="8" r:id="rId12"/>
  </sheets>
  <definedNames>
    <definedName hidden="1" localSheetId="0" name="_xlnm._FilterDatabase">'Protocolo - Extração de Dados'!$A$4:$R$212</definedName>
    <definedName hidden="1" localSheetId="1" name="_xlnm._FilterDatabase">'PROTOCOLO ANTIGO'!$A$4:$P$241</definedName>
  </definedNames>
  <calcPr/>
</workbook>
</file>

<file path=xl/sharedStrings.xml><?xml version="1.0" encoding="utf-8"?>
<sst xmlns="http://schemas.openxmlformats.org/spreadsheetml/2006/main" count="8181" uniqueCount="2670">
  <si>
    <t>MATRIZ DE EXTRAÇÃO DE DADOS - PROTOCOLO DE REVISÃO</t>
  </si>
  <si>
    <t>Tema: Litigância Abusiva, Governança Digital e Inteligência Artificial no Poder Judiciário</t>
  </si>
  <si>
    <t>Nº de Ordem</t>
  </si>
  <si>
    <t>ID do Estudo</t>
  </si>
  <si>
    <t>Base e Coleções</t>
  </si>
  <si>
    <t>String/palavras chaves</t>
  </si>
  <si>
    <t>Autor(es) ; Ano e DOI</t>
  </si>
  <si>
    <t>Título da obra/artigo</t>
  </si>
  <si>
    <t>Tribunal / Esfera Analisada</t>
  </si>
  <si>
    <t>Tecnologia de IA / Arquitetura Utilizada</t>
  </si>
  <si>
    <t>Tipo de Litigância Abusiva / Padrão Identificado</t>
  </si>
  <si>
    <t>Principais Resultados / Impacto na Gestão</t>
  </si>
  <si>
    <t>Observações / Limitações Técnicas ou Éticas</t>
  </si>
  <si>
    <t>Screening</t>
  </si>
  <si>
    <t>Pesquisador</t>
  </si>
  <si>
    <t>Revisor/SCREENINg</t>
  </si>
  <si>
    <t>Responsável - 2ª Revisão</t>
  </si>
  <si>
    <t>Responsável - 3ª Revisão</t>
  </si>
  <si>
    <t>3ª Revisão - Avaliação Final</t>
  </si>
  <si>
    <t>Sugestão de Revisor 3 (Sem Conflito)</t>
  </si>
  <si>
    <t>F_001</t>
  </si>
  <si>
    <t>web of science/International Conference on Artificial Intelligence and Law</t>
  </si>
  <si>
    <t>"judicial intelligence" AND "litigation"" (todos os caminhos)/países BRASIL OU EUA / ANOS 2020-2026/ ACESSO ABERTO</t>
  </si>
  <si>
    <t>Eduardo Caruso Barbosa Pacheco; Glauber Machado Pinto (2025)                                     DOI
10.1145/3769126.3769259</t>
  </si>
  <si>
    <t>MAIA:AI System for Repetitive Demand Resolution in Brazi</t>
  </si>
  <si>
    <t>Tribunal de Justiça de Santa Catarina (TJSC) e Ministério Público do Estado do Rio de Janeiro (MPRJ)</t>
  </si>
  <si>
    <t>Aprendizado não supervisionado ; Representação Vetorial Semântica; Agrupamento Semântico; Busca Semântica; Sistema Assistivo com Supervisão Humana Multicamadas</t>
  </si>
  <si>
    <t>Litigância repetitiva</t>
  </si>
  <si>
    <t xml:space="preserve">Identificação de 19 potenciais IRDRs em apenas 3 dias; uniformização da jurisprudência e gestão de precedentes </t>
  </si>
  <si>
    <t>depende de validação humana e não trata de litigância abusiva, nem de perfilamento de litigantes</t>
  </si>
  <si>
    <t>7–8 - A – Alta aderência - Incluir</t>
  </si>
  <si>
    <t>Pesquisador 1</t>
  </si>
  <si>
    <t>Pesquisador 2</t>
  </si>
  <si>
    <t>Pesquisador 4</t>
  </si>
  <si>
    <t>F_045</t>
  </si>
  <si>
    <t>web of science/PNAS</t>
  </si>
  <si>
    <t>intelligence center judicial (todos os campos): 2020-2026; Brasil; EUA; acesso aberto</t>
  </si>
  <si>
    <t>Garrett; Rudin; 2023; 10.1073/pnas.2301842120</t>
  </si>
  <si>
    <t>Interpretable algorithmic forensics</t>
  </si>
  <si>
    <t>Justiça criminal e prova forense</t>
  </si>
  <si>
    <t>IA interpretável (“glass box”) aplicada à prova forense</t>
  </si>
  <si>
    <t>Não trata de litigância</t>
  </si>
  <si>
    <t>Defende direito à IA forense interpretável(transparente e justificável: glass box) em processos criminais</t>
  </si>
  <si>
    <t>Não trata de gestão judicial, litigiosidade ou litigância abusiva</t>
  </si>
  <si>
    <t>5–6 - B – Aderência moderada - Incluir para leitura completa</t>
  </si>
  <si>
    <t>Pesquisador 3</t>
  </si>
  <si>
    <t>F_003</t>
  </si>
  <si>
    <t>web of science/Revista Quaestio Iuris, v.16, n.03 (2023)</t>
  </si>
  <si>
    <t xml:space="preserve">"judicial intelligence" AND "litigation"" (todos os caminhos)/países BRASIL OU EUA / ANOS 2020-2026/ ACESSO ABERTO               </t>
  </si>
  <si>
    <t>Rodrigo Borges Valadão; Bruno de Macedo Dias (2023</t>
  </si>
  <si>
    <t>Inteligência Artificial e Redução de Litigiosidade: implementação em meios extrajudiciais de resolução de controvérsia</t>
  </si>
  <si>
    <t>CNJ, STF, TJSC e experiências nacionais de automação judicial</t>
  </si>
  <si>
    <t>Não apresenta arquitetura computacional.Discute IA aplicada à resolução de conflitos, sistemas ODR (Online Dispute Resolution), automação decisória, robôs judiciais (Victor/STF e Radar/TJMG), análise de precedente</t>
  </si>
  <si>
    <t>Não aborda litigância abusiva, analisa a judicialização excessiva e litigiosidade repetitiva</t>
  </si>
  <si>
    <t>Defende que a IA produz maior impacto quando utilizada antes da judicialização, em mecanismos extrajudiciais de resolução de conflitos. Propõe utilização de plataformas inteligentes, mediação digital, ODR e sistemas automatizados para reduzir ingresso de demandas repetitivas no Judiciário.</t>
  </si>
  <si>
    <t>Estudo predominantemente teórico e prospectivo. Não realiza validação empírica</t>
  </si>
  <si>
    <t>3–4 - C – Contribuição indireta - Avaliação do pesquisador</t>
  </si>
  <si>
    <t>F_004</t>
  </si>
  <si>
    <t>Bases acadêmicas e plataformas judiciais (conforme metodologia PRISMA/Kitchenham)</t>
  </si>
  <si>
    <t>("artificial intelligence" OR "machine learning" OR "text mining") AND ("legal sector" OR "judiciary") AND ("abusive litigation" OR "frivolous litigation" OR "predatory litigation" OR "litigation management" OR "mass torts")</t>
  </si>
  <si>
    <t>Gabriele S. Araújo; Ewaldo E. C. Santana; Antonio F. L. Jacob Junior; Fábio M. F. Lobato   https://doi.org/10.5753/sbsi.2025.246589</t>
  </si>
  <si>
    <t>)</t>
  </si>
  <si>
    <t>Tribunais Superiores, Regionais, Estaduais e outros órgãos do Judiciário Brasileiro</t>
  </si>
  <si>
    <t>Processamento de Linguagem Natural (NLP), Mineração de Texto (Text Mining) e automação de tarefas</t>
  </si>
  <si>
    <t>O estudo foca em eficiência processual e automação; identifica lacunas de transparência e padronização na documentação de projetos de IA</t>
  </si>
  <si>
    <t>Mapeamento de 90 projetos de IA; identificação de aumento de 26,13% no número de projetos (baseado em dados do CNJ); aponta a necessidade de maior transparência e padronização técnica</t>
  </si>
  <si>
    <t>O estudo aponta falta de documentação detalhada e padronização entre os tribunais, o que compromete a transparência e a avaliação de eficiência das tecnologias implementadas.</t>
  </si>
  <si>
    <t>0–2 - D – Baixa aderência - Excluir</t>
  </si>
  <si>
    <t>F_005</t>
  </si>
  <si>
    <t>Scopus</t>
  </si>
  <si>
    <t>"artificial intelligence" OR "machine learning" AND "criminal justice" OR "e-justice" OR "courtroom" OR "e-process"</t>
  </si>
  <si>
    <t>Francesco Borgesano; Annarita De Maio; Pasquale Laghi; Roberto Musmanno; 2025; 10.1108/EJIM-01-2025-0117</t>
  </si>
  <si>
    <t>Artificial intelligence and justice: a systematic literature review and future research perspectives on Justice 5.0</t>
  </si>
  <si>
    <t>Estudo de escopo global (Revisão sistemática de literatura sobre sistemas jurídicos que utilizam IA)</t>
  </si>
  <si>
    <t>Aprendizado de máquina (Machine Learning), redes neurais, processamento de linguagem natural (NLP), big data e sistemas de suporte à decisão</t>
  </si>
  <si>
    <t>O estudo não foca em litigância predatória específica, mas classifica o uso da IA em: (1) Justiça Preditiva; (2) Colaboração Humano-Máquina; (3) Juízes-robô</t>
  </si>
  <si>
    <t>Mapeou o crescimento exponencial de publicações desde 2018; identifica a necessidade de governança ética, transparência e padronização para evitar vieses algorítmicos</t>
  </si>
  <si>
    <t>Foca em literatura teórica e bibliométrica; limita-se a idiomas Inglês, Italiano e Espanhol; aponta a necessidade de estudos empíricos para validar a eficácia real das ferramentas</t>
  </si>
  <si>
    <t>F_006</t>
  </si>
  <si>
    <t>Bibliografia de revisão de literatura e análise de implementação tecnológica no judiciário brasileiro</t>
  </si>
  <si>
    <t>("predatory litigation" OR "abusive litigation" OR "sham litigation") AND ("artificial intelligence" OR "automation" OR "digital procedure") AND ("judicial efficiency" OR "backlogs")</t>
  </si>
  <si>
    <t>Carla Bonfadini; 2025  http://biblioteca.trf2.jus.br/sophia_web/index.asp?codigo_sophia=178414</t>
  </si>
  <si>
    <t>Redefining Jurisdiction and Combating Predatory Litigation: The Role of Technological Tools in Modern Legal Systems</t>
  </si>
  <si>
    <t>Poder Judiciário Brasileiro (incluindo Centros de Justiça 4.0 e atuação do CNJ)</t>
  </si>
  <si>
    <t>Processamento eletrônico de casos, automação de tarefas processuais e sistemas de inteligência artificial</t>
  </si>
  <si>
    <t>Litigância predatória (caracterizada como judicial harassment, sham litigation e fraudes) e litigância repetitiva legítima</t>
  </si>
  <si>
    <t>A IA e a automação aumentam a eficiência, reduzem o acervo processual e garantem a duração razoável do processo; As tecnologias digitais redefinem o conceito de jurisdição, desafiando limites territoriais tradicionais e permitindo a gestão flexível de casos; Ferramentas como a consolidação de ações (forum non conveniens) e a detecção automatizada de abusos são apontadas como eficazes para mitigar o assédio judicial.</t>
  </si>
  <si>
    <t>digitalização e o amplo acesso à justiça geraram disfunções, como o aumento da litigância abusiva facilitada por baixos custos tecnológicos e uso de documentos forjados.</t>
  </si>
  <si>
    <t>F_067</t>
  </si>
  <si>
    <t>web of science/ Laws</t>
  </si>
  <si>
    <t>"judicial intelligence" (todos os campos): 2020-2026; Brasil; EUA; acesso aberto</t>
  </si>
  <si>
    <t>L.A.C. Münch; T.S. Ferraz. 2024. DOI: 10.3390/laws13010004</t>
  </si>
  <si>
    <t>Exploring Defuturing to Design Artificial-Intelligence Artifacts: A Systemic-Design Approach to Tackle Litigiousness in the Brazilian Judiciary (Explorando o "Defuturing" no Projeto de Artefatos de Inteligência Artificial: Uma Abordagem de Design Sistêmico para Enfrentar a Litigiosidade no Judiciário Brasileiro)</t>
  </si>
  <si>
    <t>Poder Judiciário Brasileiro. O estudo analisa artefatos de IA utilizados no Judiciário brasileiro para enfrentar a litigiosidade.</t>
  </si>
  <si>
    <t>Análise de artefatos de IA utilizados pelo Judiciário, especialmente sistemas voltados ao agrupamento (clustering) e ao tratamento em massa de processos. Propõe a abordagem Systemic Design of Defuturing (SoDF) para orientar o desenvolvimento responsável de sistemas de IA.</t>
  </si>
  <si>
    <t>Analisa o fenômeno da litigiosidade no Judiciário brasileiro. Não identifica litigância abusiva ou perfilamento de litigantes, mas discute mecanismos utilizados para enfrentar o elevado volume de processos.</t>
  </si>
  <si>
    <t>Demonstra que os artefatos atuais concentram-se em aumentar produtividade e eficiência, sem reduzir a litigiosidade. Recomenda incorporar princípios de design sistêmico, monitoramento contínuo da atuação judicial e capacitação dos magistrados para supervisionar sistemas de IA.</t>
  </si>
  <si>
    <t>Em relação ao MSL, não desenvolve arquitetura de mineração de dados nem identifica padrões de litigância abusiva, mas apresenta importante reflexão sobre governança e desenho de sistemas de IA no Judiciário.</t>
  </si>
  <si>
    <t>9–10 - A+ – Essencial - Incluir</t>
  </si>
  <si>
    <t>F_002</t>
  </si>
  <si>
    <t>web of science/IOS Press – Frontiers in Artificial Intelligence and Applications</t>
  </si>
  <si>
    <t>F_008</t>
  </si>
  <si>
    <t>web of science/Applied Mathematics (MDPI), v. 6, 2026</t>
  </si>
  <si>
    <t>"judicial intelligence" AND "court intelligence" (todos os caminhos) AND "litigation"/países BRASIL OU EUA / ANOS 2020-2026/ ACESSO ABERTO</t>
  </si>
  <si>
    <t>Wullianallur Raghupathi (2026)   https://doi.org/10.3390/appliedmath6020032</t>
  </si>
  <si>
    <t>Exploring Artificial Intelligence and Machine Learning Approaches to Legal Reasoning (Exploração de Abordagens de Inteligência Artificial e Aprendizado de Máquina para o Raciocínio Jurídico)</t>
  </si>
  <si>
    <t>Tribunais dos EUA e Tribunal de Apelações Federal, farmacêuticas (2016-2018)</t>
  </si>
  <si>
    <t>Pipeline multicamadas integrando mineração de texto, Processamento de Linguagem Natural (NLP), vetorização TF-IDF, extração de n-gramas, clustering (K-Means e Hierárquico), modelagem de tópicos (LDA e NMF), Random Forest, Naïve Bayes e Redes Neurais Profundas. O estudo combina aprendizagem supervisionada e não supervisionada com foco em interpretabilidade</t>
  </si>
  <si>
    <t>Não aborda litigância abusiva nem perfilamento de litigantes. Identifica padrões decisórios recorrentes, categorias doutrinárias, agrupamentos temáticos e estruturas argumentativas em litígios de patentes farmacêuticas.</t>
  </si>
  <si>
    <t>Não aborda litigância abusiva, litigância predatória, litigância repetitiva ou perfilamento de litigantes. Os autores reconhecem a existência de uma lacuna entre previsão estatística e compreensão jurídica genuína, bem como limitações decorrentes da ausência de variáveis extratextuais, comportamento dos litigantes, características dos julgadores, provas produzidas e contexto institucional mais amplo. Também alertam que padrões identificados computacionalmente não equivalem necessariamente ao raciocínio jurídico efetivamente empregado pelos magistrado</t>
  </si>
  <si>
    <t>Loreane Brandizzi; Guilherme Rodrigues (2025)                         DOI
10.3233/FAIA251573</t>
  </si>
  <si>
    <t>JuriDiscovery: Automated Analysis of Legal Disputes Triggered by Public Policies Using Artificial Intelligence – A Case Study Applied to Individual Microentrepreneurs</t>
  </si>
  <si>
    <t>Justiça Estadual, Justiça Federal, Justiça do Trabalho e Justiça Eleitoral.</t>
  </si>
  <si>
    <t>engenharia de prompts, análise semântica e sumarização automática</t>
  </si>
  <si>
    <t>Não identifica litigância abusiva diretamente. Identifica padrões de judicialização decorrentes de falhas de implementação de políticas públicas. Principais clusters: relação de emprego (pejotização), assistência judiciária gratuita, isenção fiscal, benefícios previdenciários e fraudes em registros de MEI. Contudo utilizou o algoritmo HDBSCAN importante para identificar demandas repetitivas</t>
  </si>
  <si>
    <t>Transformou 57.075 decisões judiciais em conhecimento estruturado; identificou 11.775 processos efetivamente relacionados ao MEI; consolidou milhares de processos em 40 tópicos jurídicos relevantes; produziu painel analítico interativo; riscos de viés</t>
  </si>
  <si>
    <t>bases documentais não-padronizadas (ementas heterogênea) e 31% dos casos foram classificados como ruído pelo HDBSCAN</t>
  </si>
  <si>
    <t>F_009</t>
  </si>
  <si>
    <t>web of science/ICAIL 2021 – International Conference on Artificial Intelligence and Law</t>
  </si>
  <si>
    <t>Devin J. McConnell; James Zhu; Sachin Pandya; Derek Aguiar (2021) DOI : 10.1145/3462757.3466101</t>
  </si>
  <si>
    <t>Case-Level Motion Outcome Prediction in Civil Litigation (Previsão de Resultados de Moções em Nível de Caso em Litígios Cíveis)</t>
  </si>
  <si>
    <t>Poder Judiciário do Estado de Connecticut (EUA). Base composta por aproximadamente 15 anos de processos cíveis envolvendo responsabilidade civil e acidentes de trânsito</t>
  </si>
  <si>
    <t>Pipeline multicamada. O modelo combina aprendizagem supervisionada, mineração de texto e engenharia de atributos jurídicos.</t>
  </si>
  <si>
    <t>Não aborda litigância abusiva diretamente. Identifica padrões processuais associados ao deferimento ou indeferimento de moções</t>
  </si>
  <si>
    <t>Demonstrou que a IA pode prever o resultado de pedidos processuais durante o andamento da ação, utilizando informações do processo e o conteúdo das petições</t>
  </si>
  <si>
    <t>O estudo não aborda litigância abusiva, litigância predatória, litigância repetitiva ou perfilamento de litigantes. O modelo foi desenvolvido para uma única jurisdição (Connecticut) e para um tipo específico de incidente processual. Os autores reconhecem inconsistências nos registros judiciais.</t>
  </si>
  <si>
    <t>F_010</t>
  </si>
  <si>
    <t>web of science/Dædalus – Journal of the American Academy of Arts and Sciences (2022)</t>
  </si>
  <si>
    <t>"Judicial intelligence center"/países BRASIL OU EUA / ANOS 2020-2026/ ACESSO ABERTO</t>
  </si>
  <si>
    <t>Sonia K. Katyal (2022) DOI
10.1162/daed_a_01919</t>
  </si>
  <si>
    <t>Democracy and Distrust in an Age of Artificial Intelligence(Democracia e Desconfiança em uma Era de Inteligência Artificial)</t>
  </si>
  <si>
    <t>Administração Pública, Poder Judiciário e sistemas governamentais nos EUA (benefícios sociais, educação, proteção à infância, segurança pública)</t>
  </si>
  <si>
    <t>não apresenta arquitetura computacional. nalisa sistemas de aprendizado de máquina, algoritmos preditivos e decisões automatizadas utilizados por órgãos públicos e empresas privadas, discutindo seus impactos sobre direitos fundamentais. O foco está na governança e supervisão institucional.</t>
  </si>
  <si>
    <t>Não aborda litigância abusiva, litigância predatória, litigância repetitiva ou perfilamento de litigantes. O estudo examina padrões de discriminação algorítmica, vieses decorrentes de sub-representação e super-representação de grupos em bases de dados e riscos de exclusão de minorias</t>
  </si>
  <si>
    <t>Demonstra que sistemas de IA podem ampliar desigualdades estruturais quando utilizados sem mecanismos de transparência, supervisão e controle.</t>
  </si>
  <si>
    <t>Estudo essencialmente teórico e normativo, sem validação empírica, modelagem computacional ou análise de desempenho de algoritmos.</t>
  </si>
  <si>
    <t>F_011</t>
  </si>
  <si>
    <t>web of science/AI Open (Elsevier), v. 5, 2024</t>
  </si>
  <si>
    <t>Jinqi Lai; Wensheng Gan; Jia Yang Wu; Zhenlian Qi; Philip S. Yu (2024)    https://doi.org/10.1016/j.aiopen.2024.09.002</t>
  </si>
  <si>
    <t>Large Language Models in Law: A Survey (Modelos Linguísticos Abrangentes no Direito: Uma Pesquisa)</t>
  </si>
  <si>
    <t>Sistemas de justiça de diversos países, com destaque para China, Estados Unidos, Reino Unido, Holanda e Colômbia. Analisa aplicações de IA em tribunais inteligentes, assistência judicial, previsão de decisões e automação jurídica</t>
  </si>
  <si>
    <t>Arquitetura baseada em Large Language Models (LLMs) fundamentados em Transformer, BERT, GPT, GPT-3, GPT-4, ChatGLM, LLaMA e modelos jurídicos especializados como LawGPT, ChatLaw, LexiLaw e Lawyer LLaMA. Utiliza NLP, Deep Learning, Self-Attention, Fine-Tuning, Transfer Learning e geração automática de texto</t>
  </si>
  <si>
    <t>Não aborda diretamente litigância abusiva, predatória ou repetitiva. Entretanto, descreve capacidades de identificação de casos semelhantes, recuperação de precedentes, classificação documental, extração de informações jurídicas e análise de padrões em grandes volumes de dados jurídicos, funcionalidades potencialmente aplicáveis ao monitoramento da litigiosidade</t>
  </si>
  <si>
    <t>Demonstra que LLMs podem auxiliar magistrados, advogados e usuários por meio da análise de casos, recuperação de precedentes, geração automática de documentos, consultoria jurídica, sumarização processual e apoio à tomada de decisão.</t>
  </si>
  <si>
    <t>Trata-se de estudo de revisão, sem validação empírica própria ou desenvolvimento de arquitetura inédita. Não aborda litigância abusiva, perfilamento de litigantes ou modelos específicos de análise comportamental</t>
  </si>
  <si>
    <t>F_071</t>
  </si>
  <si>
    <t>web of science/ICAIL 2025</t>
  </si>
  <si>
    <t>C. Arvin. 2025. DOI: 10.1145/3769126.3769128</t>
  </si>
  <si>
    <t>Identifying Legal Holdings with LLMs: A Systematic Study of Performance, Scale, and Memorization (Identificação de Teses Jurídicas com LLMs: Um Estudo Sistemático de Desempenho, Escala e Memorização)</t>
  </si>
  <si>
    <t>Base CaseHOLD, voltada à identificação de teses jurídicas em decisões judiciais. O resumo não identifica tribunal específico.</t>
  </si>
  <si>
    <t>Grandes Modelos de Linguagem (LLMs), de 3B a mais de 90B parâmetros, avaliados em benchmark jurídico. O estudo testa modelos como GPT-4o e AmazonNovaPro para identificar teses jurídicas, sem treinamento sofisticado, fine-tuning ou few-shot prompting.</t>
  </si>
  <si>
    <t>Não trata de litigância. Analisa padrões de identificação de teses jurídicas em decisões judiciais.</t>
  </si>
  <si>
    <t>Demonstra que o desempenho melhora conforme o tamanho do modelo e que os resultados não decorrem apenas de memorização, pois os modelos mantiveram bom desempenho após anonimização de citações.</t>
  </si>
  <si>
    <t>Gabriele S. Araújo; Ewaldo E. C. Santana; Antonio F. L. Jacob Junior; Fábio M. F. Lobato</t>
  </si>
  <si>
    <t>O resumo aponta limitações atuais dos LLMs em tarefas jurídicas e destaca implicações para o desenvolvimento e medição de legal analytics. Não trata de litigância abusiva ou perfilamento de litigantes.</t>
  </si>
  <si>
    <t>The Artificial Intelligence Integration in the Brazilian Legal Sector</t>
  </si>
  <si>
    <t>F_083</t>
  </si>
  <si>
    <t>web of science/ICAIL 2025 – Twentieth International Conference on Artificial Intelligence and Law</t>
  </si>
  <si>
    <t>F. Bomfim; J. Neto; A. Neves; V. Furtado; S. Silva; V. Pinheiro. 2025. DOI: 10.1145/3769126.3769244</t>
  </si>
  <si>
    <t>Automating Legal Reasoning with Generative AI: A Framework for Judicial Decision Support (Automatizando o Raciocínio Jurídico com IA Generativa: Um Framework para Apoio à Decisão Judicial)</t>
  </si>
  <si>
    <t>Tribunal de Justiça Estadual brasileiro, com avaliação em casos de primeira instância. O resumo não identifica o tribunal específico.</t>
  </si>
  <si>
    <t>Framework com Grandes Modelos de Linguagem (LLMs) para automatizar raciocínio jurídico em decisões judiciais. Combina Chain-of-Density prompting, metodologia CO-STAR e modelo FIRAC para analisar pedidos, alegações e provas, gerando raciocínio estruturado e coerente.</t>
  </si>
  <si>
    <t>Não trata de litigância. Analisa apoio automatizado ao raciocínio jurídico e à elaboração de decisões judiciais.</t>
  </si>
  <si>
    <t>O framework demonstrou potencial para otimizar fluxos judiciais, aumentar consistência e melhorar transparência. Métricas semânticas indicaram bom alinhamento com textos de referência, embora métricas lexicais tenham revelado desafios na geração abstrativa de texto.</t>
  </si>
  <si>
    <t>O resumo aponta desafio técnico na geração abstrativa, identificado pelas métricas lexicais. Não trata de litigância abusiva, mas possui alta aderência ao eixo de Inteligência Judicial e apoio à decisão.</t>
  </si>
  <si>
    <t>F_014</t>
  </si>
  <si>
    <t>web of science/ICAART 2022 – 14th International Conference on Agents and Artificial Intelligence (SCITEPRESS)</t>
  </si>
  <si>
    <t>Avi Bleiweiss (2022)   DOI: 10.5220/0010974300003116</t>
  </si>
  <si>
    <t>Topic Area Discovery from Judicial Opinion Summaries Using Neural Text Processing (Descoberta de Áreas Temáticas a partir de Resumos de Pareceres Jurídicos Utilizando Processamento Neural de Texto)</t>
  </si>
  <si>
    <t>Suprema Corte dos Estados Unidos</t>
  </si>
  <si>
    <t>Utiliza Inteligência Artificial para ler resumos de decisões judiciais e classificá-los automaticamente em áreas do Direito, como Processo Penal, Direitos Civis e Atividade Econômica. O estudo compara dois modelos de linguagem (DistilBERT e LegalBERT), treinados com exemplos previamente classificados, para identificar o tema principal de cada decisão judicial</t>
  </si>
  <si>
    <t>Não aborda litigância abusiva, litigância predatória ou perfilamento de litigantes. O foco está na identificação automática de padrões temáticos em decisões judiciais e na classificação de casos em áreas jurídicas (Processo Penal, Direitos Civis, Atividade Econômica, Poder Judiciário e Outros</t>
  </si>
  <si>
    <t>Demonstrou que resumos curtos de decisões podem ser utilizados para classificar automaticamente processos em áreas temáticas com desempenho satisfatório, dispensando a análise integral dos acórdãos. O DistilBERT apresentou desempenho superior ao LegalBERT, alcançando F1 ponderado de 0,52 contra 0,44. O estudo evidencia potencial para triagem automatizada, organização temática de acervos, recuperação inteligente de informações e apoio à gestão do conhecimento jurídico.</t>
  </si>
  <si>
    <t>Não apresenta aplicação prática em tribunais ou Centros de Inteligência Judicial. O conjunto de dados é restrito à Suprema Corte dos EUA (1.358 casos) e não contempla litigância abusiva, comportamento processual, litigantes habituais ou demandas repetitivas. A classificação ocorre apenas em nível temático. Não propõe arquitetura de governança, mecanismos de explicabilidade ou modelos de apoio à identificação de litigância estratégica. A generalização para outros sistemas judiciais depende de adaptação e validação adicional.</t>
  </si>
  <si>
    <t>F_015</t>
  </si>
  <si>
    <t>web of science/Applied Sciences (MDPI), v. 16, 2026</t>
  </si>
  <si>
    <t>intelligence artificial (todos os campos) and litigation management (todos os campos) refinamento:acesso aberto/ anos de publicação 202-2026, paíse EUA /BRASIL</t>
  </si>
  <si>
    <t>Wullianallur Raghupathi; Aditya Saharia; Tanush Kulkarni (2026)     https://doi.org/10.3390/app16010235</t>
  </si>
  <si>
    <t>Identifying Key Issues in Artificial Intelligence Litigation: A Machine Learning Text Analytic Approach (Identificação das Principais Questões na Litigância sobre Inteligência Artificial: Uma Abordagem de Análise Textual por Aprendizado de Máquina)</t>
  </si>
  <si>
    <t>Poder Judiciário dos Estados Unidos. O estudo analisou 347 processos judiciais relacionados à Inteligência Artificial extraídos da base Westlaw, envolvendo tribunais federais, estaduais e especializados</t>
  </si>
  <si>
    <t>Arquitetura baseada em Processamento de Linguagem Natural (NLP) e Aprendizado de Máquina não supervisionado. O estudo realizou pré-processamento dos textos (tokenização, lematização, remoção de stopwords e extração de n-gramas), construção de matriz documento-termo (TF-IDF), geração de embeddings (Word2Vec), análise de coocorrência e modelagem de tópicos por Latent Dirichlet Allocation (LDA) e Non-negative Matrix Factorization (NMF) para identificar automaticamente padrões temáticos em processos judiciais.</t>
  </si>
  <si>
    <t>Não trata diretamente de litigância abusiva, predatória ou perfilamento de litigantes. Entretanto, identifica padrões recorrentes de litigância envolvendo Inteligência Artificial, agrupando os processos em nove categorias temáticas, incluindo segurança cibernética, propriedade intelectual, falsas alegações sobre IA, discriminação algorítmica, privacidade, uso governamental da IA e ações coletivas. Também identifica um tópico específico relacionado a alegações frívolas envolvendo IA e aplicação de sanções processuais.</t>
  </si>
  <si>
    <t>Demonstrou que técnicas de mineração de textos e modelagem de tópicos permitem identificar automaticamente padrões recorrentes em litígios envolvendo IA. Foram identificadas nove áreas temáticas de conflitos e seis grandes domínios de litigância, evidenciando que a maioria dos litígios decorre de problemas relacionados à segurança de dados, propriedade intelectual e uso indevido da IA. Os resultados subsidiam mecanismos de governança, gestão de riscos, formulação de políticas públicas e monitoramento empírico da litigiosidade baseada em IA.</t>
  </si>
  <si>
    <t>Os autores reconhecem que o estudo está limitado a 347 processos norte-americanos extraídos da Westlaw e que seus resultados não devem ser generalizados para outros países ou sistemas jurídicos. A análise restringe-se a litígios envolvendo Inteligência Artificial e não contempla toda a litigiosidade judicial. Em relação aos objetivos deste MSL, o estudo não identifica litigantes habituais, não realiza perfilamento de partes nem desenvolve metodologia específica para detecção de litigância abusiva, embora apresente uma arquitetura robusta de mineração de textos jurídicos potencialmente reutilizável para esse propósito.</t>
  </si>
  <si>
    <t>F_016</t>
  </si>
  <si>
    <t>web of science/Revista Direito GV, Escola de Direito de São Paulo da Fundação Getulio Vargas</t>
  </si>
  <si>
    <t>intelligence artificial (todos os campos) and litigation management (todos os campos) refinamento:acesso aberto/ anos de publicação 2020-2026, paíse EUA /BRASIL/áerea de pesquisa governo direito, ciência , tecnologia</t>
  </si>
  <si>
    <t>Anthony E. Davis (2020)     DOI: http://dx.doi.org/10.1590/2317-6172201945</t>
  </si>
  <si>
    <t>Carla Bonfadini; 2025</t>
  </si>
  <si>
    <t>F_007</t>
  </si>
  <si>
    <t>web of science/Revista de Investigações Constitucionais, [S. l.], v. 10, n. 2, p. e252, 2023</t>
  </si>
  <si>
    <t>"judicial intelligence" AND "court intelligence" (todos os caminhos)/países BRASIL OU EUA / ANOS 2020-2026/ ACESSO ABERTO</t>
  </si>
  <si>
    <t>VALLE, Vivian Cristina Lima López; FUENTES I GASÓ, Josep Ramón; AJUS, Attílio Martins. DOI: https://doi.org/10.5380/rinc.v10i2.92598</t>
  </si>
  <si>
    <t>The Future of Law Firms (and Lawyers) in the Age of Artificial Intelligence (O Futuro dos Escritórios de Advocacia (e dos Advogados) na Era da Inteligência Artificial)</t>
  </si>
  <si>
    <t>Prestação de serviços jurídicos, escritórios de advocacia, departamentos jurídicos e mercado jurídico, com referências principalmente aos Estados Unidos, Inglaterra, País de Gales, Austrália e Canadá. Não analisa um tribunal específico.</t>
  </si>
  <si>
    <t>O artigo não apresenta uma arquitetura computacional específica. Descreve aplicações de IA já utilizadas no setor jurídico, como descoberta e revisão de documentos (e-discovery), automação da expertise jurídica, pesquisa jurídica inteligente, gestão e análise de contratos, geração automática de documentos e análise preditiva, explicando como essas ferramentas automatizam tarefas repetitivas e apoiam a tomada de decisão jurídica.</t>
  </si>
  <si>
    <t>Não informado pelo estudo. O artigo não aborda litigância abusiva, litigância predatória, litigância repetitiva ou perfilamento de litigantes. Seu foco está na transformação da prestação de serviços jurídicos, na automação de atividades advocatícias e nos impactos da IA sobre a profissão jurídica</t>
  </si>
  <si>
    <t>Judicial decision-making assisted by artificial intelligence and the Victor System of the Brazilian Federal Supreme Court (Decisão judicial assistida por inteligência artificial e o Sistema Victor do Supremo Tribunal Federal)</t>
  </si>
  <si>
    <t>STF/UNB (Repercussão Geral e da triagem dos Recursos Extraordinários)</t>
  </si>
  <si>
    <t>Demonstra que a Inteligência Artificial tende a transformar profundamente a advocacia ao automatizar atividades operacionais, como pesquisa jurídica, revisão documental, elaboração de contratos e análise preditiva, permitindo maior eficiência, redução de custos e novos modelos de prestação de serviços jurídicos. O estudo conclui que o diferencial competitivo dos advogados passará a concentrar-se em competências humanas, como julgamento, criatividade, empatia e adaptabilidade, além da capacidade de selecionar e supervisionar ferramentas de IA.</t>
  </si>
  <si>
    <t>A pesquisa incluiu histórico e tipos de IA, métodos de aprendizado de máquina e análise de softwares de IA em tribunais brasileiros. (classificação automática de peças processuais, identificação de temas de repercussão geral e agrupamento de recursos semelhantes.)</t>
  </si>
  <si>
    <t>litigiosidade repetitiva associada aos Recursos Extraordinários submetidos ao regime de Repercussão Geral</t>
  </si>
  <si>
    <t>Estudo essencialmente teórico e prospectivo, sem validação empírica, desenvolvimento de algoritmo ou avaliação quantitativa das tecnologias mencionadas. Não apresenta metodologia de mineração de dados, arquitetura reutilizável, análise de processos judiciais ou identificação de padrões de litigiosidade. Em relação aos objetivos deste MSL, não aborda inteligência judicial, litigância abusiva, perfilamento de litigantes nem análise de dados aplicada ao Poder Judiciário. Sua principal contribuição está na discussão dos impactos organizacionais, regulatórios, éticos e profissionais da IA sobre a advocacia e a prestação de serviços jurídicos.</t>
  </si>
  <si>
    <t>Redução  do tempo de triagem processual.</t>
  </si>
  <si>
    <t>Não trata de litigância abusiva; problema dos vieses e  hipernormatização artificial (generalização indevida da norma extraída do precedente, desconsidera as particularidades fáticas e jurídicas)</t>
  </si>
  <si>
    <t>F_099</t>
  </si>
  <si>
    <t>Scopus – Mana: Estudos de Antropologia Social</t>
  </si>
  <si>
    <t>"Court Intelligence"/período 2020-2026; país Brasil/EUA; Acesso Aberto</t>
  </si>
  <si>
    <t>S.R. Munhoz; V.P. Perin; M. dos Santos Ribeiro. 2024. DOI: 10.1590/1678-49442024V30N2E2024014.PT</t>
  </si>
  <si>
    <t>Big Data: Ways of Doing, Comparing and Governing (Big Data: Modos de Fazer, Comparar e Governar)</t>
  </si>
  <si>
    <t>Não analisa tribunal específico. Examina diferentes instituições e setores sociais, incluindo o campo jurídico, burocrático, agrícola, biotecnológico, econômico e outros.</t>
  </si>
  <si>
    <t>Analisa o uso de Big Data, bancos massivos de dados, algoritmos e ferramentas computacionais para coleta, organização, comparação e distribuição de informações. O estudo é conceitual e não apresenta arquitetura específica de IA ou modelo computacional.</t>
  </si>
  <si>
    <t>Não trata de litigância. Analisa formas de produção, comparação e governança de dados em diferentes contextos institucionais.</t>
  </si>
  <si>
    <t>Demonstra que o Big Data transforma a produção de conhecimento e a governança institucional, discutindo transparência, precisão, velocidade, ética e desenvolvimento sustentável. Evidencia o papel crescente dos algoritmos e das linguagens estatísticas na organização das informações.</t>
  </si>
  <si>
    <t>ão trata do Poder Judiciário como objeto central, nem de Inteligência Judicial, litigância abusiva ou mineração de padrões processuais.</t>
  </si>
  <si>
    <t>F_018</t>
  </si>
  <si>
    <t xml:space="preserve">web of science/ Journal Citation Reports  2025.  </t>
  </si>
  <si>
    <t>"digital governance" OR "judicial governance" OR "court management" OR "decision support"</t>
  </si>
  <si>
    <t>Contini, F( Contini, Francesco )DOI
10.5204/lthj.2695 2023</t>
  </si>
  <si>
    <t>The Never-Ending Crisis of Italian Justice: Role and Responsibility of its Governance System ( A crise interminável da justiça italiana: papel e responsabilidade de seu sistema de
governança</t>
  </si>
  <si>
    <t>Poder Judiciário italiano. Abrange Tribunal de Cassação, Tribunais de Apelação, Tribunais Ordinários, Ministério da Justiça e Conselho Superior da Magistratura.</t>
  </si>
  <si>
    <t>Tecnologia: sistemas de Justiça Eletrônica (e-Justice), sistemas de gestão processual, TIC aplicadas ao Judiciário, workflow eletrônico e digitalização judicial. Arquitetura de IA: não utiliza Inteligência Artificial nem modelos computacionais; analisa mecanismos institucionais de governança e gestão.</t>
  </si>
  <si>
    <t>O estudo não investiga diretamente litigância abusiva. Entretanto, identifica litígios frívolos (frivolous litigation), abuso do processo, queixas vexatórias e excesso de litigiosidade como fatores que pressionam o sistema judicial. Analisa ainda medidas legais destinadas a desestimular tais práticas, incluindo mediação obrigatória, aumento das custas judiciais e sanções econômicas aos litigantes abusivos.</t>
  </si>
  <si>
    <t>O estudo conclui que a principal causa da crise da justiça italiana não é apenas o excesso de processos, mas a governança dual entre Ministério da Justiça e Conselho Superior da Magistratura, que dificulta a coordenação da gestão de recursos, digitalização, planejamento estratégico e avaliação de desempenho. Demonstra que a baixa previsibilidade das decisões, a morosidade, a fragmentação administrativa e a utilização ineficiente dos recursos comprometem a eficiência judicial. Mostra ainda que investimentos em Justiça Digital e sistemas eletrônicos reduziram parte do acervo processual, mas que a melhoria decorreu principalmente da diminuição do ingresso de ações, e não do aumento da produtividade dos tribunais</t>
  </si>
  <si>
    <t>Limitações metodológicas: estudo qualitativo baseado em literatura e estatísticas secundárias; não utiliza mineração de dados, aprendizado de máquina, Inteligência Artificial ou análise automática de processos. Não propõe modelos preditivos. As conclusões concentram-se no sistema italiano, embora os autores indiquem possibilidade de aplicação a outros países com estruturas semelhantes de governança judicial. Sob a perspectiva ética, destaca riscos decorrentes da fragmentação institucional, baixa transparência, interferência política na nomeação de magistrados e ausência de mecanismos integrados de governança e avaliação</t>
  </si>
  <si>
    <t>F_019</t>
  </si>
  <si>
    <t>web of science/Revista de Direito GV</t>
  </si>
  <si>
    <t>Luiz Akutsu e Tomás de Aquino Guimarães. DOI
10.1590/S1808-24322012000100008 Ano 2012</t>
  </si>
  <si>
    <t>Judicial governance dimensions and their appointment to the Brazilian judicial system (DIMENSÕES DA GOVERNANÇA JUDICIAL E SUA APLICAÇÃO AO SISTEMA JUDICIAL BRASILEIRO)
APLICAÇÃO AO SISTEMA JUDICIAL BRASILEIRO)</t>
  </si>
  <si>
    <t>Sistema Judiciário Brasileiro</t>
  </si>
  <si>
    <t>estudo descritivo, analítico e exploratório, baseado em revisão do estado da arte da literatura nacional e internacional.</t>
  </si>
  <si>
    <t>O estudo não aborda litigância abusiva, contudo tem alta aderência ao tema Governança Digital</t>
  </si>
  <si>
    <t>Os autores identificam seis dimensões fundamentais da governança judicial e concluem que elas influenciam diretamente o desempenho do sistema judicial. Também defendem que pesquisas futuras investiguem:
influência dos recursos estratégicos no desempenho;
impactos da independência judicial;
accountability;
redução da corrupção;
melhoria da eficiência institucional.</t>
  </si>
  <si>
    <t>Os autores reconhecem:  escassez de pesquisas empíricas sobre administração do Judiciário;
reduzido número de estudos voltados especificamente ao Judiciário brasileiro.</t>
  </si>
  <si>
    <t>F_020</t>
  </si>
  <si>
    <t xml:space="preserve">web of science/ 
JOURNAL OF ORGANIZATIONAL AND END USER COMPUTING
</t>
  </si>
  <si>
    <t>Chen, JJ( Chen, Jiajun ) [1] ;  Lou, ZJ( Lou, Zhengjie ) [2] ;  Chen, GH( Chen, Guanhe ) [3] ;  Zhang, C( Zhang, Chi ) [4] ;  Li, Y( Li, Yang ) [5] DOI
10.4018/JOEUC.392618 ano 2025</t>
  </si>
  <si>
    <t>Research on the Application of AI-Based Intelligent Decision Support Systems in E-Government Services ( Pesquisa sobre a aplicação de
sistemas de apoio à decisão inteligente baseados
em IA
em serviços de governo eletrônico)</t>
  </si>
  <si>
    <t>não voltado ao Poder Judiciário</t>
  </si>
  <si>
    <t>Governo eletrônico (Governança Digital), não voltado ao Poder Judiciário. Tecnologias de IA: aprendizado de máquina supervisionado, Processamento de Linguagem Natural (PLN), grafos de conhecimento semântico, Redes Convolucionais em Grafos (GCN), BERT, RoBERTa, aprendizado por reforço (RL), análise de sentimento, modelos de regressão, embeddings semânticos e arquitetura modular IA-DSS-EG composta por cinco módulos: Government Role Mapping (GRM), Data-Driven Decision Engine (DDE), Trust-Aware Decision Filter (TADF), Semantic Knowledge Graph Reasoning (SKGR) e Citizen Feedback Learning Loop (CFLL).</t>
  </si>
  <si>
    <t>Não informado pelo estudo</t>
  </si>
  <si>
    <t>O IA-DSS-EG apresentou desempenho superior aos modelos de referência em classificação de funções governamentais, previsão de resultados fiscais, filtragem baseada em confiança e compatibilidade semântica jurídica. Os resultados indicam maior precisão, robustez contextual, interpretabilidade, conformidade jurídica e melhor aceitação pelas partes interessadas. O sistema integra informações fiscais, legais e sociais, favorecendo decisões públicas mais transparentes, centradas no cidadão e orientadas por dados.</t>
  </si>
  <si>
    <t>Limitações reconhecidas pelo estudo: as soluções atuais de IDSS apresentam limitações relacionadas à confiança pública, interpretabilidade jurídica e integração do feedback dos cidadãos, motivando a proposta da arquitetura IA-DSS-EG. Limitações em relação ao presente MSL: o estudo não analisa litigância abusiva, litigância predatória, padrões de litigiosidade, processos judiciais, tribunais, mineração de dados processuais ou aplicação direta ao Poder Judiciário. A arquitetura foi validada em cenários de governo eletrônico e administração pública, não em ambientes judiciais.</t>
  </si>
  <si>
    <t>F_021</t>
  </si>
  <si>
    <t xml:space="preserve">web of science/ 
FRONTIERS IN POLITICAL SCIENCE Coleção analisada: artigos científicos publicados entre 2000 e 2023.
</t>
  </si>
  <si>
    <t>Lin, Z ;  (Lin, Zhao) [1] Yaakop, MR (Yaakop, Mohd Rizal) [1] DOI
10.3389/fpos.2024.1403404 ano 2024</t>
  </si>
  <si>
    <t>Research on digital governance based on Web of Science-a bibliometric analysis ( Pesquisa sobre governança digital
com base na Web of Science —
uma análise bibliométrica)</t>
  </si>
  <si>
    <t>Governança Digital e Governo Eletrônico em âmbito internacional. Tribunal: Não informado pelo estudo</t>
  </si>
  <si>
    <t>Tecnologias utilizadas: softwares bibliométricos VOSviewer (visualização de redes de colaboração, coocorrência de palavras-chave e clusters) e CiteSpace (análise temporal, detecção de tendências e burst de citações). O estudo também identifica que temas recentes incluem Inteligência Artificial, Big Data, cidades inteligentes, segurança da informação e transformação digital, porém não emprega IA como método analítico. Arquitetura de IA: Não informado pelo estudo.</t>
  </si>
  <si>
    <t>O estudo demonstra crescimento contínuo da pesquisa em Governança Digital desde 2000, identificando Estados Unidos, China, Reino Unido, Índia e Espanha como principais países produtores. Os principais temas concentram-se em governo eletrônico, confiança, transparência, transformação digital, participação cidadã, administração pública digital, cidades inteligentes, sustentabilidade, inteligência artificial e segurança da informação. O estudo identifica a evolução temática da área, os pesquisadores e instituições mais influentes e aponta que, nos anos mais recentes, a Inteligência Artificial tornou-se um dos principais tópicos emergentes em Governança Digital</t>
  </si>
  <si>
    <t>Limitações reconhecidas pelos autores: utilização exclusiva da base Web of Science; exclusão de bases como Scopus, Elsevier Science e Google Scholar; possibilidade de viés decorrente da seleção apenas de artigos em inglês; limitação temporal da base WoS; possibilidade de lacunas na seleção de palavras-chave e cobertura incompleta da literatura. Limitações em relação ao presente MSL: o estudo possui natureza exclusivamente bibliométrica; não analisa tribunais, processos judiciais, mineração de dados processuais, inteligência judicial, ciência de dados jurídicos ou identificação de padrões de litigância abusiva. Sua aderência ao objetivo do MSL é parcial, contribuindo apenas para o entendimento da evolução científica da Governança Digital e da emergência da Inteligência Artificial como tema de pesquisa, sem aplicação direta ao Poder Judiciário.</t>
  </si>
  <si>
    <t>F_104</t>
  </si>
  <si>
    <t>Scopus – Revista Brasileira de Estudos Políticos</t>
  </si>
  <si>
    <t>A.B.C. Barbosa. 2024. DOI: 10.9732/2024.V128.1200</t>
  </si>
  <si>
    <t>The Court of Auditors of Brazil: A New Agenda for Action Based on a Rereading of the Competence Matrix of the External Control System (Os Tribunais de Contas do Brasil: Uma Nova Agenda de Atuação Baseada na Releitura da Matriz de Competência do Sistema de Controle Externo)</t>
  </si>
  <si>
    <t>Tribunais de Contas do Brasil, especialmente o sistema brasileiro de controle externo e a experiência do Tribunal de Contas da União.</t>
  </si>
  <si>
    <t>Não utiliza IA. Estudo qualitativo, descritivo, exploratório e argumentativo sobre competências constitucionais, paradigmas de gestão e tecnologia no controle externo.</t>
  </si>
  <si>
    <t>Não trata de litgância.</t>
  </si>
  <si>
    <t>Propõe nova agenda de fiscalização para os Tribunais de Contas em etapas do ciclo orçamentário, ampliando o escopo de supervisão e a capacidade de accountability horizontal.</t>
  </si>
  <si>
    <t>não aborda Poder Judiciário, IA judicial, ciência de dados jurídicos, litigância abusiva ou padrões processuais.</t>
  </si>
  <si>
    <t>F_023</t>
  </si>
  <si>
    <t>web of science / 
ScienceDirect (Elsevier) – Computers in Human Behavior Reports.</t>
  </si>
  <si>
    <t>"artificial intelligence" AND " in the judiciary"</t>
  </si>
  <si>
    <t>King-Huey Shao; Wei-Ting Tsai; Bao-Yu Chen. 2026. DOI: 10.1016/j.chbr.2026.101006.</t>
  </si>
  <si>
    <t>Mitigating Algorithm Aversion in the Judiciary: How Systemic Dissatisfaction Drives AI Acceptance ( Mitigando a aversão a algoritmos no judiciário: como a insatisfação sistêmica
impulsiona a aceitação da IA)</t>
  </si>
  <si>
    <t>Esfera analisada: Poder Judiciário de Taiwan, contemplando processos cíveis e criminais.</t>
  </si>
  <si>
    <t>Tecnologia de IA: sistemas de apoio à decisão judicial (AI-JDM – Artificial Intelligence Judicial Decision-Making). A pesquisa analisa a aceitação pública da IA para quatro tarefas: determinação da responsabilidade civil, cálculo de indenizações, definição da culpa criminal e fixação da pena. Não descreve arquitetura computacional específica (como redes neurais ou LLMs), pois trata da aceitação social da IA, e não do desenvolvimento técnico dos modelos.</t>
  </si>
  <si>
    <t>Não aborda litigância abusiva ou predatória diretamente. O padrão identificado relaciona-se à desconfiança institucional, insatisfação com o comportamento dos magistrados, percepção de injustiça, atrasos processuais e aceitação da IA como mecanismo para aumentar imparcialidade e consistência das decisões. O estudo identifica que a abertura à IA decorre mais da percepção de falhas humanas do que da eficiência tecnológica.</t>
  </si>
  <si>
    <t>O estudo demonstra que a aceitação da IA varia conforme o tipo de decisão judicial. Há maior aceitação para tarefas objetivas e quantitativas (cálculo de indenizações e penas) e forte rejeição quando a IA decide sobre culpabilidade ou responsabilidade moral. Pessoas insatisfeitas com a conduta dos juízes demonstram maior apoio ao uso da IA. A percepção de que o sistema jurídico é justo reduz significativamente a aceitação da IA. Experiências positivas com os tribunais reforçam a preferência por decisões humanas, especialmente na esfera criminal. Os achados indicam que a IA pode contribuir para a gestão judicial como ferramenta de apoio, aumentando eficiência, padronização e consistência, mas sem substituir o julgamento humano em decisões de elevado conteúdo moral.</t>
  </si>
  <si>
    <t>As principais limitações referem-se ao fato de o estudo medir aceitação pública, e não desempenho real de sistemas de IA. A pesquisa restringe-se ao contexto de Taiwan, limitando a generalização internacional. Entre os aspectos éticos destacam-se: preservação do devido processo legal, necessidade de supervisão humana, transparência algorítmica, privacidade dos dados, explicabilidade dos sistemas e preservação do julgamento humano em decisões moralmente sensíveis. O estudo conclui que a IA deve atuar como ferramenta de apoio à decisão, e não como substituta do magistrado.</t>
  </si>
  <si>
    <t>F_041</t>
  </si>
  <si>
    <t>web of science/Veterinary world</t>
  </si>
  <si>
    <t>Souza et al.; 2026        10.14202/vetworld.2026.933-947</t>
  </si>
  <si>
    <t>Biobanks in veterinary forensic medicine</t>
  </si>
  <si>
    <t>Medicina veterinária forense; tráfico de fauna</t>
  </si>
  <si>
    <t>IA apenas mencionada como suporte à curadoria de dados</t>
  </si>
  <si>
    <t>Não trata de titigância</t>
  </si>
  <si>
    <t>Biobancos podem apoiar investigações forenses sobre tráfico de fauna</t>
  </si>
  <si>
    <t>Fora do escopo do Poder Judiciário e da litigiosidade judicial</t>
  </si>
  <si>
    <t>F_012</t>
  </si>
  <si>
    <t>F_042</t>
  </si>
  <si>
    <t>web of science/Revista de Gestão e Secretariado</t>
  </si>
  <si>
    <t xml:space="preserve">web of science / 
REVISTA ACADEMICA DA FACULDADE DE DIREITO DO RECIFE
</t>
  </si>
  <si>
    <t>Santo et al.; 2022     DOI         10.7769/gesec.v13i3.1447</t>
  </si>
  <si>
    <t>Copyright of creations made by artificial intelligence</t>
  </si>
  <si>
    <t>Lavinya Almeida; Sérgio Torres Teixeira (2024)   DOI
10.51359/2448-2307.2024.262369</t>
  </si>
  <si>
    <t>Propriedade intelectual; direito autoral</t>
  </si>
  <si>
    <t xml:space="preserve">Não informado </t>
  </si>
  <si>
    <t>Artificial Intelligence: Discriminatory aspects of automation and the possibility of reviewing automated decisions (Inteligência Artificial: Aspectos discriminatórios da automatização e a possibilidade de revisão das decisões automatizadas)</t>
  </si>
  <si>
    <t>Identifica diferentes posições sobre autoria de obras criadas por IA</t>
  </si>
  <si>
    <t>Não trata de gestão judicial, litigiosidade ou análise de dados</t>
  </si>
  <si>
    <t>Poder Judiciário Brasileiro, com análise de aplicações no TJPE, TJMG (Radar), STF (Victor) e referências internacionais sobre algoritmos decisórios</t>
  </si>
  <si>
    <t>Não apresenta arquitetura computacional. nalisa sistemas baseados em algoritmos, machine learning, profiling, automação decisória e sistemas autônomos inteligentes (SAIs)</t>
  </si>
  <si>
    <t>Não trata de litigância abusiva. Identificação de padrões discriminatórios e vieses algorítmicos decorrentes do uso de bases de dados enviesadas (raciais, econômicas, sociais e de gênero)</t>
  </si>
  <si>
    <t>Defende transparência algorítmica, revisão humana obrigatória, direito de revisão das decisões automatizadas e mitigação de riscos relacionados ao perfilamento automatizado de partes e modelos preditivos. Alta aderência à Governança de Algorítimos</t>
  </si>
  <si>
    <t>estudo teórico, sem validação empírica, experimentação computacional. Não aborda litigância abusiva. Sua contribuição concentra nos aspectos éticos na utilização da IA. Baixa aderência à análise de dados e detecção de padrões.</t>
  </si>
  <si>
    <t>F_043</t>
  </si>
  <si>
    <t>web of science/ Law, Probability &amp; Risk</t>
  </si>
  <si>
    <t>Biedermann; Lau; 2024; 10.1093/lpr/mgae007</t>
  </si>
  <si>
    <t>Decisionalizing the problem of reliance on expert and machine evidence</t>
  </si>
  <si>
    <t>Prova pericial e evidência computacional</t>
  </si>
  <si>
    <t>Saídas de IA e evidências de máquina em contexto forense</t>
  </si>
  <si>
    <t>Propõe estrutura decisória para avaliar confiança em evidências de máquina</t>
  </si>
  <si>
    <t>F_117</t>
  </si>
  <si>
    <t>Web of Science – Indiana Law Journal</t>
  </si>
  <si>
    <t>F_013</t>
  </si>
  <si>
    <t>"torts of abuse of process"/ BRASIL E EUA/ Anos 2020-2026</t>
  </si>
  <si>
    <t>D.L. Simon. 2021 WOS:000713996500002/ISSN         0019-6665</t>
  </si>
  <si>
    <t>web of science/ Revista Científica da Universidade de Formiga – UNIFOR/MG (2024)</t>
  </si>
  <si>
    <t>The Settlement Trap (A Armadilha do Acordo)</t>
  </si>
  <si>
    <t>Sistema de falências dos Estados Unidos. O estudo examina acordos firmados em litígios de massa envolvendo processos de falência, especialmente os casos NFL Concussion e Pelvic Mesh.</t>
  </si>
  <si>
    <t>Não utiliza Inteligência Artificial. Desenvolve análise jurídica baseada em estudo doutrinário e entrevistas com participantes dos processos.</t>
  </si>
  <si>
    <t>Altier Resende de Alvarenga; Henrique Abi-Ackel Torres (2024)       DOI 10.24862/rcdu.v15i2.2101</t>
  </si>
  <si>
    <t>Identifica o fenômeno denominado Settlement Trap, no qual vítimas de litígios de massa deixam de receber valores decorrentes de acordos em razão da interação entre o direito falimentar e a administração patrimonial da massa falida. O estudo evidencia incentivos institucionais capazes de favorecer comportamentos oportunistas e potenciais abusos.</t>
  </si>
  <si>
    <t>Demonstra que a legislação falimentar pode impedir que vítimas recebam indenizações obtidas em acordos judiciais. Identifica pontos de pressão estruturais e doutrinários responsáveis por aumentar custos e insegurança jurídica, propondo medidas de reforma para proteger os beneficiários dos acordos.</t>
  </si>
  <si>
    <t>A Implementação de Novas Tecnologias na Justiça Brasileira: Direitos Fundamentais do Acusado e Aceleração do Processo Penal</t>
  </si>
  <si>
    <t>embora trate de comportamento oportunista e abuso institucional, não utiliza Inteligência Artificial, análise de dados ou métodos automáticos de identificação de litigância abusiva.</t>
  </si>
  <si>
    <t>Poder Judiciário Brasileiro, com destaque para STF, CNJ e tribunais que utilizam Processo Judicial Eletrônico (PJe), Sistema Victor, videoconferência, robôs processuais e automação judicial.</t>
  </si>
  <si>
    <t>Não apresenta arquitetura própria. Analisa tecnologias já utilizadas pelo Judiciário brasileiro, incluindo Processo Judicial Eletrônico (PJe), Sistema Victor do STF, inteligência artificial para triagem processual, reconhecimento de padrões, análise preditiva, videoconferência, automação de tarefas repetitivas e processamento digital de informações.</t>
  </si>
  <si>
    <t>Não aborda litigância abusiva, litigância predatória ou perfilamento de litigantes. O foco está na aceleração processual, triagem automatizada, identificação de padrões processuais, otimização do fluxo de trabalho judicial e análise preditiva para apoio à gestão processual.</t>
  </si>
  <si>
    <t>redução do tempo de tramitação processual com o uso de IA, aumento da produtividade, otimização da triagem, destaque para o sistema VITOR</t>
  </si>
  <si>
    <t>F_048</t>
  </si>
  <si>
    <t>web of science/Journal of Medical Ethics</t>
  </si>
  <si>
    <t>Yoon; Torrance; Scheinerman; 2022; 10.1136/medethics-2020-107102</t>
  </si>
  <si>
    <t>Machine learning in medicine</t>
  </si>
  <si>
    <t>Medicina e responsabilidade médico-legal</t>
  </si>
  <si>
    <t>Machine Learning interpretável em saúde</t>
  </si>
  <si>
    <t>Defende interpretabilidade em decisões médicas de alto risco</t>
  </si>
  <si>
    <t>Fora do escopo judicial principal do MSL</t>
  </si>
  <si>
    <t>F_049</t>
  </si>
  <si>
    <t>web of science/Middle East Policy</t>
  </si>
  <si>
    <t>Ziv; 2025; 10.1111/mepo.12810</t>
  </si>
  <si>
    <t>Military Reservists and the Resistance to Netanyahu's Legal Overhaul</t>
  </si>
  <si>
    <t>Reforma judicial em Israel</t>
  </si>
  <si>
    <t>Analisa resistência política de reservistas à reforma judicial</t>
  </si>
  <si>
    <t>F_050</t>
  </si>
  <si>
    <t>web of science/Knowledge Engineering Review</t>
  </si>
  <si>
    <t>De Souza et al.; 2023; 10.1017/S0269888923000073</t>
  </si>
  <si>
    <t>Selecting and ranking leading cases in Brazilian Supreme Court decisions</t>
  </si>
  <si>
    <t>Supremo Tribunal Federal — STF</t>
  </si>
  <si>
    <t>Redes de decisões, PageRank e algoritmo de Kleinberg</t>
  </si>
  <si>
    <t>Padrões de relevância de precedentes</t>
  </si>
  <si>
    <t>Propõe medidas quantitativas para selecionar e ranquear leading cases</t>
  </si>
  <si>
    <t>Não trata de litigância abusiva, mas tem alta utilidade para inteligência judicia</t>
  </si>
  <si>
    <t>F_137</t>
  </si>
  <si>
    <t>Scopus / Revista Eletrônica de Direito Processual</t>
  </si>
  <si>
    <t>"Demandas Repetitivas" AND "Inteligência Artificial" (Todos os Campos)</t>
  </si>
  <si>
    <t>R. de Castro Mendes et al. (2024). DOI: 10.12957/redp.2024.86367</t>
  </si>
  <si>
    <t>Use of Jurimetrics and Artificial Intelligence in Binding Precedents (Uso da Jurimetria e da Inteligência Artificial nos Precedentes Vinculantes)</t>
  </si>
  <si>
    <t>Sistema de precedentes vinculantes do Processo Civil Brasileiro.</t>
  </si>
  <si>
    <t>O estudo aborda Jurimetria e Inteligência Artificial aplicadas à análise de precedentes vinculantes. O resumo não informa algoritmos, modelos computacionais ou arquitetura específica.</t>
  </si>
  <si>
    <t>Não trata  de litigância abusiva. Analisa padrões decisórios relacionados aos precedentes vinculantes e sua utilização para racionalização da atividade jurisdicional.</t>
  </si>
  <si>
    <t>Demonstra que a utilização conjunta da Jurimetria e da Inteligência Artificial pode contribuir para maior previsibilidade das decisões judiciais, fortalecimento dos precedentes obrigatórios e aprimoramento da segurança jurídica.</t>
  </si>
  <si>
    <t>Estudo de natureza predominantemente teórica. O resumo não apresenta experimentação computacional nem validação empírica das ferramentas discutidas.</t>
  </si>
  <si>
    <t>F_053</t>
  </si>
  <si>
    <t>web of science/Artificial Intelligence and Law</t>
  </si>
  <si>
    <t>L. Resck et al.; 2025; DOI: 10.1007/s10506-025-09446-w</t>
  </si>
  <si>
    <t>LegalAnalytics: bridging visual explanations and workload streamline in Brazilian Supreme Court appeals — LegalAnalytics: integrando explicações visuais e otimização do fluxo de trabalho em recursos extraordinários no STF</t>
  </si>
  <si>
    <t>Supremo Tribunal Federal — STF; recursos extraordinários e temas de repercussão geral</t>
  </si>
  <si>
    <t>NLP, modelos de classificação e IA explicável com LIME para classificar recursos conforme temas de repercussão geral e justificar visualmente a classificação</t>
  </si>
  <si>
    <t>Identifica padrões de classificação de recursos por temas de repercussão geral</t>
  </si>
  <si>
    <t>O sistema auxilia na triagem de recursos, compara peças com precedentes e apresenta justificativas transparentes para servidores, juízes e advogados</t>
  </si>
  <si>
    <t>F_172</t>
  </si>
  <si>
    <t>Google Scholar / Government Information Quarterly (Elsevier) / https://doi.org/10.1016/j.giq.2021.101577</t>
  </si>
  <si>
    <t>"análise de perfil litigante" OR "acesso responsável à justiça" OR "acesso à justiça"</t>
  </si>
  <si>
    <t>Anneke Zuiderwijk; Yu-Che Chen; Fadi Salem (2021). DOI: 10.1016/j.giq.2021.101577</t>
  </si>
  <si>
    <t>Implications of the use of artificial intelligence in public governance: A systematic literature review and a research agenda ( Implicações do uso da inteligência artificial na governança pública: uma revisão sistemática da literatura e uma agenda de pesquisa.)</t>
  </si>
  <si>
    <t>Governança pública e setor público em perspectiva internacional</t>
  </si>
  <si>
    <t>IA em governo, automação, análise de dados e mecanismos de governança</t>
  </si>
  <si>
    <t>Não aborda litigância abusiva; fornece base conceitual para governança digital e uso responsável de IA no setor público</t>
  </si>
  <si>
    <t>Identifica predominância de estudos exploratórios e propõe agenda multidisciplinar, empírica e orientada a formas específicas de IA</t>
  </si>
  <si>
    <t>Escopo amplo de governança pública; transferência para o Judiciário requer adaptação institucional e regulatória</t>
  </si>
  <si>
    <t>F_056</t>
  </si>
  <si>
    <t>C. M. Cox; 2025; DOI: 10.1145/3769126.3769194</t>
  </si>
  <si>
    <t>Non-Herculean Data: A Philosophical Intervention in a Technical Debate about Judicial Opinions as Data Sources — Dados não hercúleos: intervenção filosófica sobre decisões judiciais como fontes de dados</t>
  </si>
  <si>
    <t>Esfera judicial em geral; uso de opiniões judiciais como dados para IA jurídica</t>
  </si>
  <si>
    <t>o uso de decisões judiciais como dados de treinamento para IA jurídica</t>
  </si>
  <si>
    <t>Alerta que decisões judiciais podem representar de forma incompleta o raciocínio judicial, afetando o desenho de ferramentas de IA jurídica</t>
  </si>
  <si>
    <t>Estudo filosófico. Não apresenta arquitetura aplicada, validação empírica ou análise de litigância abusiva</t>
  </si>
  <si>
    <t>F_057</t>
  </si>
  <si>
    <t>F. Braz et al.; 2025; DOI: 10.1145/3769126.3769225</t>
  </si>
  <si>
    <t>OSIRIS: A Domain-Guided Framework for Tax Foreclosure Automation Using Large Language Models — OSIRIS: estrutura orientada por domínio para automação de execuções fiscais com LLMs</t>
  </si>
  <si>
    <t>Tribunal de Justiça do Distrito Federal e Territórios - TJDFT; execuções fiscais</t>
  </si>
  <si>
    <t>Framework baseado em Grandes Modelos de Linguagem (LLMs), reconhecimento de padrões, classificação por embeddings e modelagem por máquina de estados finitos para automatizar o fluxo das execuções fiscais.</t>
  </si>
  <si>
    <t>Não trata de litigância.Identifica padrões procedimentais em execuções fiscais para automatizar a tramitação processual.</t>
  </si>
  <si>
    <t>Mapeou 273 atos, 44 estados e 10 fases; alcançou 88% de acurácia na classificação de atos e reduziu uso de tokens em 96%</t>
  </si>
  <si>
    <t>O resumo destaca preservação da integridade procedimental e supervisão humana. Não aborda litigância abusiva</t>
  </si>
  <si>
    <t>F_017</t>
  </si>
  <si>
    <t>web of science/ Journal of Business Economics and Management (2021)</t>
  </si>
  <si>
    <t>F_058</t>
  </si>
  <si>
    <t>web of science/Asian Journal of Law and Society</t>
  </si>
  <si>
    <t>Xiaoxiao Zheng; Yisheng Liu; Jun Jiang; Linda M. Thomas; Nan Su (2021)   DOI
10.3846/jbem.2021.13219</t>
  </si>
  <si>
    <t>Fortes P.R.B.; 2020. DOI: 10.1017/als.2020.12</t>
  </si>
  <si>
    <t>Paths to Digital Justice: Judicial Robots, Algorithmic Decision-Making, and Due Process (Caminhos para a Justiça Digital: Robôs Judiciais, Tomada de Decisão Algorítmica e Devido Processo Legal)</t>
  </si>
  <si>
    <t>Prediction of Litigation Outcome in PPP Project Disputes Between Public Authority and Private Partner Using an Ensemble Model (Previsão do Resultado de Litígios em Disputas de Projetos de Parceria Público-Privada entre Autoridade Pública e Parceiro Privado Utilizando um Modelo de Conjunto)</t>
  </si>
  <si>
    <t>Sistemas de Justiça, com referência expressa à Justiça Criminal, especialmente ao uso de softwares para avaliação de reincidência criminal.</t>
  </si>
  <si>
    <t xml:space="preserve"> Discussão sobre Inteligência Artificial, algoritmos e robôs judiciais utilizados como apoio à tomada de decisão. Não apresenta arquitetura computacional específica.</t>
  </si>
  <si>
    <t>Poder Judiciário da China. O estudo analisou decisões judiciais envolvendo disputas contratuais entre autoridades públicas e parceiros privados em projetos de Parceria Público-Privada (PPP), extraídas da base China Judgements Online, abrangendo processos julgados entre 2013 e 2019</t>
  </si>
  <si>
    <t>Não trata de litigância. Analisa os impactos da automação da decisão judicial sobre o devido processo legal.</t>
  </si>
  <si>
    <t>Arquitetura baseada em Aprendizado de Máquina supervisionado. Inicialmente foram extraídos manualmente 17 fatores jurídicos das decisões judiciais por meio de estudo de caso. Esses fatores foram utilizados como variáveis de entrada para nove algoritmos de Machine Learning (SVM, Decision Tree, Random Forest, Logistic Regression, KNN, MLP, GBDT, AdaBoost e XGBoost). Ao final, foi desenvolvido um modelo de conjunto (Ensemble Model) combinando GBDT, KNN e MLP, que alcançou a melhor precisão preditiva (96,42%)</t>
  </si>
  <si>
    <t>Conclui que a IA pode contribuir para apoiar decisões judiciais, mas recomenda cautela quanto à substituição do juiz por sistemas automatizados, destacando a necessidade de transparência, explicabilidade e preservação das garantias processuais.</t>
  </si>
  <si>
    <t>Estudo teórico. O resumo não informa limitações metodológicas. Em relação ao MSL, não apresenta mineração de dados, identificação de padrões processuais ou arquitetura reutilizável.</t>
  </si>
  <si>
    <t>O estudo não aborda litigância abusiva, predatória ou perfilamento de litigantes. Seu foco é identificar padrões de disputas contratuais em projetos de PPP e prever o resultado dos litígios a partir de fatores jurídicos recorrentes, como inadimplemento contratual, alteração legislativa, escassez de recursos, demanda inferior à prevista, rescisão unilateral da concessão e ausência de cláusulas contratuais específicas.</t>
  </si>
  <si>
    <t>Demonstrou que a combinação de fatores jurídicos estruturados e algoritmos de Machine Learning permite prever, com elevada precisão, o provável resultado de litígios em contratos de PPP. A arquitetura auxilia na identificação das principais causas das disputas, melhora a gestão de riscos contratuais, favorece soluções consensuais antes da judicialização e fornece subsídios para decisões mais eficientes na gestão de projetos públicos.</t>
  </si>
  <si>
    <t>Os autores reconhecem que o estudo foi desenvolvido exclusivamente com decisões chinesas envolvendo contratos de PPP, limitando sua generalização para outros sistemas jurídicos. A identificação dos fatores jurídicos foi realizada manualmente por especialistas, não havendo extração automática por NLP. Em relação aos objetivos deste MSL, o estudo não trata de litigância abusiva, comportamento de litigantes ou perfilamento processual, embora apresente uma arquitetura robusta e altamente reutilizável para mineração de decisões judiciais, identificação de padrões e apoio à Inteligência Judicial</t>
  </si>
  <si>
    <t>F_059</t>
  </si>
  <si>
    <t>web of science/ICAIL 2023</t>
  </si>
  <si>
    <t>I. Canavotto; J. Horty. 2023. DOI: 10.1145/3594536.3595148</t>
  </si>
  <si>
    <t>Reasoning with Hierarchies of Open-Textured Predicates (Raciocinando com Hierarquias de Predicados Jurídicos de Textura Aberta)</t>
  </si>
  <si>
    <t>Sistema de precedentes judiciais e raciocínio jurídico baseado em decisões judiciais. O resumo não identifica tribunal específico.</t>
  </si>
  <si>
    <t>Modelo computacional para representar o raciocínio jurídico por meio de hierarquias de conceitos jurídicos intermediários e restrições decorrentes dos precedentes.</t>
  </si>
  <si>
    <t>Não trata de litigância. Analisa padrões de raciocínio jurídico e aplicação de precedentes.</t>
  </si>
  <si>
    <t>Demonstra que diferentes estruturas hierárquicas podem alterar as restrições impostas pelos precedentes, contribuindo para modelos computacionais de representação do raciocínio jurídico.</t>
  </si>
  <si>
    <t>Não trata de litigância abusiva, nem de gestão de litigiosidade</t>
  </si>
  <si>
    <t>F_060</t>
  </si>
  <si>
    <t>web of science/Revista Brasileira de Direito</t>
  </si>
  <si>
    <t>A.B. Santos; G.A. Vilas; A. Carvalho. 2024. DOI: 10.18256/2238-0604.2024.v20i1.5020</t>
  </si>
  <si>
    <t>The Impact of the Fusion Between Law and Technology on the Advancement of an Intelligent Brazilian Judicial System Using Artificial Intelligence (O Impacto da Fusão entre Direito e Tecnologia no Avanço de um Sistema Judiciário Brasileiro Inteligente Utilizando Inteligência Artificial)</t>
  </si>
  <si>
    <t>Poder Judiciário Brasileiro.</t>
  </si>
  <si>
    <t>Não apresenta arquitetura computacional específica.</t>
  </si>
  <si>
    <t>Não trata de litigância. Analisa a transformação digital do Judiciário brasileiro.</t>
  </si>
  <si>
    <t>Estudo bibliográfico que conclui que a integração entre Direito e tecnologia aumenta a eficiência, amplia o acesso à justiça e melhora a tomada de decisão, ressaltando a necessidade de políticas voltadas à transparência, responsabilidade e equidade.</t>
  </si>
  <si>
    <t>F_062</t>
  </si>
  <si>
    <t>web of science/Law Technology and Humans</t>
  </si>
  <si>
    <t>William Cesta; 2024. DOI: 10.5204/lthj.3400</t>
  </si>
  <si>
    <t>The Regulation of Judicial Analytics: Towards a New Research Agenda (A Regulação da Análise de Dados Judiciais: Rumo a uma Nova Agenda de Pesquisa)</t>
  </si>
  <si>
    <t>Regulação do uso de dados judiciais (Judicial Analytics) em diferentes sistemas de justiça. O resumo menciona a legislação francesa de 2019 como marco regulatório, mas não restringe o estudo a um único tribunal.</t>
  </si>
  <si>
    <t>Estudo sobre Judicial Analytics, compreendido como o uso sistemático de dados judiciais para produção de análises e apoio à decisão. Não apresenta arquitetura computacional específica.</t>
  </si>
  <si>
    <t>Não trata de litigância. Analisa a utilização e a regulação de dados judiciais para fins analíticos.</t>
  </si>
  <si>
    <t>Identifica lacunas na literatura sobre regulação da análise de dados judiciais e propõe uma agenda de pesquisa voltada ao desenvolvimento de modelos regulatórios e estudos empíricos sobre seus impactos na Justiça.</t>
  </si>
  <si>
    <t>Não apresenta arquitetura de IA nem identifica padrões de litigiosidade, mas contribui para a governança de dados judiciais.</t>
  </si>
  <si>
    <t>F_063</t>
  </si>
  <si>
    <t>web of science/Information &amp; Communications Technology Law</t>
  </si>
  <si>
    <t>Brian Flanagan; Guilherme Almeida; Daniel N. Chen; A. Gitahi; 2026. DOI: 10.1080/13600834.2025.2533042</t>
  </si>
  <si>
    <t>The Rule of Law or the Rule of Robots? Nationally Representative Survey Evidence from Kenya (O Estado de Direito ou o Governo dos Robôs? Evidências de Pesquisa Nacional Representativa no Quênia)</t>
  </si>
  <si>
    <t>Administração da Justiça no Quênia, analisando a utilização de assistentes jurídicos baseados em IA como apoio à atividade jurisdicional.</t>
  </si>
  <si>
    <t>Pesquisa empírica baseada em experimentos com questionários para avaliar a aceitação de assistentes jurídicos baseados em Inteligência Artificial como apoio aos magistrados.</t>
  </si>
  <si>
    <t>Não trata de litigância. Analisa a percepção social sobre o uso da IA na administração da Justiça.</t>
  </si>
  <si>
    <t>Conclui que os participantes consideram legítimo o uso de assistentes jurídicos baseados em IA, indicando potencial para ampliar eficiência, acesso à justiça e confiança no sistema judicial.</t>
  </si>
  <si>
    <t>não aborda análise de padrões processuais nem perfilamento de litigantes.</t>
  </si>
  <si>
    <t>F_177</t>
  </si>
  <si>
    <t>Scopus (Revista Eletrônica de Direito Processual)</t>
  </si>
  <si>
    <t>Aluisio Gonçalves de Castro Mendes; Carolina Paes de Castro Mendes (2023). DOI: 10.12957/redp.2023.72239</t>
  </si>
  <si>
    <t>Acesso à justiça: em busca de um processo efetivo</t>
  </si>
  <si>
    <t>Brasil — sistema de justiça e reformas processuais; abordagem geral, sem tribunal delimitado</t>
  </si>
  <si>
    <t>Não utiliza IA. Pesquisa bibliográfica e análise jurídico-comparada de reformas processuais.</t>
  </si>
  <si>
    <t>Não examina litigância abusiva; discute ineficiência processual e obstáculos à efetividade.</t>
  </si>
  <si>
    <t>Associa acesso à justiça ao acesso efetivo a uma ordem jurídica justa; destaca direito comparado, técnica processual, atuação dos juristas e medidas complementares à legislação.</t>
  </si>
  <si>
    <t>Trabalho teórico-bibliográfico; não apresenta validação empírica, arquitetura tecnológica ou métricas de gestão. Fonte: https://doi.org/10.12957/redp.2023.72239</t>
  </si>
  <si>
    <t>F_178</t>
  </si>
  <si>
    <t>Scopus (Onati Socio-Legal Series)</t>
  </si>
  <si>
    <t>Asbjørn Storgaard; Susanna Johansson; Karsten Åström (2023). DOI: 10.35295/osls.iisl/0000-0000-0000-1351</t>
  </si>
  <si>
    <t>Introduction. Access to justice from a multi-disciplinary and socio-legal perspective: Barriers and facilitators</t>
  </si>
  <si>
    <t>Escopo europeu e norte-americano; múltiplos contextos decisórios, inclusive externos aos tribunais</t>
  </si>
  <si>
    <t>Não utiliza IA. Introdução/síntese sociojurídica multidisciplinar.</t>
  </si>
  <si>
    <t>Não examina litigância abusiva; identifica barreiras e facilitadores de acesso, inclusive decisões unilaterais de atores não judiciais.</t>
  </si>
  <si>
    <t>Amplia o objeto da pesquisa para além de tribunais e advogados e reúne contribuições úteis ao desenvolvimento de políticas e práticas de acesso à justiça.</t>
  </si>
  <si>
    <t>Texto introdutório de edição especial; resultados são panorâmicos e dependem das contribuições reunidas. Não oferece método de detecção ou avaliação tecnológica. Fonte: https://doi.org/10.35295/osls.iisl/0000-0000-0000-1351</t>
  </si>
  <si>
    <t>F_066</t>
  </si>
  <si>
    <t>H. Sargeant; A. Izzidien; F. Steffek; 2026. DOI: 10.1007/s10506-025-09434-0</t>
  </si>
  <si>
    <t>Topic Classification of Case Law Using a Large Language Model and a New Taxonomy for UK Law: AI Insights into Summary Judgment (Classificação Temática da Jurisprudência Utilizando um Grande Modelo de Linguagem e uma Nova Taxonomia para o Direito do Reino Unido: Percepções da IA sobre o Julgamento Sumário)</t>
  </si>
  <si>
    <t>Sistema Judiciário do Reino Unido, analisando decisões de summary judgment.</t>
  </si>
  <si>
    <t>Utiliza um Grande Modelo de Linguagem (Claude 3 Opus) para classificar automaticamente decisões judiciais segundo uma nova taxonomia temática desenvolvida para o Direito do Reino Unido.</t>
  </si>
  <si>
    <t>Não trata de litigância. Identifica padrões temáticos em decisões judiciais por meio de classificação automática.</t>
  </si>
  <si>
    <t>O modelo alcançou elevada precisão na classificação temática das decisões, permitindo identificar tendências de aplicação do julgamento sumário e fornecendo base para pesquisas em administração judiciária e análise computacional do Direito.</t>
  </si>
  <si>
    <t>MSL, apresenta elevada aderência por utilizar IA para classificação automática de decisões judiciais, embora não trate de litigância abusiva ou perfilamento de litigantes.</t>
  </si>
  <si>
    <t>F_183</t>
  </si>
  <si>
    <t>Web of Science / Clarivate Analytics (Law &amp; Society Review)</t>
  </si>
  <si>
    <t>Whitney K. Taylor (2025). DOI: 10.1017/lsr.2025.10044</t>
  </si>
  <si>
    <t>The unintended consequences of increased access to justice</t>
  </si>
  <si>
    <t>Comparado: Canadá, China, Colômbia, Índia, Rússia, África do Sul e Estados Unidos; experimentos/reformas de acesso à justiça</t>
  </si>
  <si>
    <t>Não utiliza IA. Exercício teórico apoiado em literatura e exemplos empíricos comparados.</t>
  </si>
  <si>
    <t>Não trata especificamente de litigância abusiva, mas aponta aumento de demandas e pressão sistêmica como consequência possível da redução de barreiras — não equivale, por si, a abuso.</t>
  </si>
  <si>
    <t>A ampliação do acesso pode: sobrecarregar o sistema; elevar expectativas não atendidas; reforçar desigualdades; e produzir soluções limitadas ou inadequadas. Alerta útil para desenho e avaliação de reformas.</t>
  </si>
  <si>
    <t>Artigo teórico e comparado; heterogeneidade entre países limita generalizações e causalidade. Cuidado ético: efeitos sistêmicos não justificam presumir abuso nem restringir direitos de acesso. Fonte: https://doi.org/10.1017/lsr.2025.10044</t>
  </si>
  <si>
    <t>F_185</t>
  </si>
  <si>
    <t>Scopus (British Journal of Social Work)</t>
  </si>
  <si>
    <t>Kelly Purser; Tina Cockburn; Cassandra Cross; Helene Jacmon (2018). DOI: 10.1093/bjsw/bcy041</t>
  </si>
  <si>
    <t>Alleged Financial Abuse of Those under an Enduring Power of Attorney: An Exploratory Study</t>
  </si>
  <si>
    <t>Austrália — 100 pessoas com 65 anos ou mais atendidas por organização de advocacy sem fins lucrativos</t>
  </si>
  <si>
    <t>Não utiliza IA. Análise exploratória de anotações de 100 casos.</t>
  </si>
  <si>
    <t>Abuso financeiro de idosos mediante uso indevido de procuração duradoura; não se trata, propriamente, de litigância abusiva. Padrões: natureza das alegações, barreiras e facilitadores de acesso.</t>
  </si>
  <si>
    <t>Evidencia complexidade das alegações e orienta melhoria da gestão por prestadores de serviços e profissionais de cuidados a idosos, com foco em informação, remediação e acesso.</t>
  </si>
  <si>
    <t>Amostra de usuários de uma organização específica; alegações não equivalem a fatos judicialmente comprovados. Exige proteção de dados sensíveis, capacidade e não estigmatização. Fonte: https://doi.org/10.1093/bjsw/bcy041</t>
  </si>
  <si>
    <t>F_022</t>
  </si>
  <si>
    <t>Scopus e Web of Science (WoS).</t>
  </si>
  <si>
    <t>Stijn Van Ruymbeke; Joke Baeck; Klaas Mulier; Thomas Demeester. 2026. DOI: 10.1080/13600834.2026.2644818.</t>
  </si>
  <si>
    <t>Artificial Intelligence in the Judiciary: A Systematic Literature Review on the Practical Applications ( Inteligência artificial no poder judiciário: uma revisão sistemática
da literatura sobre as aplicações práticas)</t>
  </si>
  <si>
    <t>Esfera analisada: Poder Judiciário em perspectiva internacional (31 jurisdições, incluindo EUA, China, Brasil, Índia, Itália, Reino Unido, Tribunal Europeu de Direitos Humanos e Corte de Justiça da União Europeia).</t>
  </si>
  <si>
    <t>Tecnologias de IA: Machine Learning, Deep Learning, Processamento de Linguagem Natural (NLP), Large Language Models (ChatGPT/GPT), sistemas especialistas, classificação automática, sumarização, anonimização, mineração de textos jurídicos, previsão judicial, recuperação de precedentes e IA generativa. Arquiteturas: Transformers, GPT, modelos supervisionados de ML, redes neurais profundas, classificação textual, IA baseada em agentes (Agentic AI) e sistemas de apoio à decisão</t>
  </si>
  <si>
    <t>F_069</t>
  </si>
  <si>
    <t>Não analisa especificamente litigância abusiva ou predatória. Entretanto, identifica padrões relacionados ao aumento do volume processual, congestionamento, morosidade, excesso de documentos jurídicos e necessidade de gestão inteligente do acervo judicial. A IA é apresentada como instrumento para redução de backlog, planejamento estratégico, classificação automática de petições, sumarização, anonimização e apoio à tomada de decisão judicial.</t>
  </si>
  <si>
    <t>S.R. de Pádua; F.H. Peixoto. 2025. DOI: 10.18256/g4jnx825</t>
  </si>
  <si>
    <t>A revisão identifica dois grandes eixos de aplicação da IA: (1) gestão interna dos tribunais, envolvendo planejamento de recursos, previsão de carga de trabalho, classificação documental, anonimização, digitalização e automação administrativa; e (2) apoio à atividade jurisdicional, incluindo recuperação de informações jurídicas, apoio às decisões, democratização do acesso ao Direito e sistemas inteligentes para magistrados. Conclui que a IA melhora eficiência, reduz custos, diminui atrasos processuais, otimiza alocação de recursos humanos e fortalece a transformação digital do Judiciário.</t>
  </si>
  <si>
    <t>Generative Artificial Intelligence in Law: from Evaluation Methodology to the Legal Correctness of LLMs and AI Agents (Inteligência Artificial Generativa no Direito: da Metodologia de Avaliação à Correção Jurídica de LLMs e Agentes de IA)</t>
  </si>
  <si>
    <t>Sistema jurídico brasileiro, avaliando tarefas jurídicas relacionadas à legislação, precedentes e documentos legais.</t>
  </si>
  <si>
    <t>O estudo destaca importantes limitações técnicas e éticas: necessidade de infraestrutura digital robusta; baixa alfabetização em IA dos operadores do Direito; resistência institucional; vieses algorítmicos; privacidade e proteção de dados; transparência e explicabilidade dos modelos; supervisão humana obrigatória em aplicações críticas; necessidade de validação contínua dos sistemas; riscos decorrentes da utilização de IA generativa e agentes autônomos. Ressalta ainda que a IA deve atuar como ferramenta de apoio, jamais substituindo o julgamento humano.</t>
  </si>
  <si>
    <t>Avalia 15 Grandes Modelos de Linguagem (LLMs), como ChatGPT, Claude, Gemini, DeepSeek, Qwen e Copilot. Desenvolve uma metodologia de testes jurídicos e analisa técnicas como Retrieval-Augmented Generation (RAG) e engenharia de prompts para avaliar desempenho em atividades jurídicas.</t>
  </si>
  <si>
    <t>Não trata de litigância. Analisa o desempenho de modelos generativos em tarefas jurídicas, como identificação da ratio decidendi, aplicação de princípios jurídicos e organização de informações processuais.</t>
  </si>
  <si>
    <t>Desenvolve um protocolo para avaliação jurídica de LLMs e demonstra que diferentes modelos apresentam desempenhos distintos conforme a tarefa. Conclui que os LLMs são úteis para apoio argumentativo e análise de precedentes, mas não devem ser utilizados isoladamente como fonte de conhecimento jurídico.</t>
  </si>
  <si>
    <t>O resumo identifica limitações importantes: alucinações persistem mesmo com engenharia de prompts; não existe modelo superior para todas as tarefas; modelos mais recentes nem sempre apresentam melhor desempenho. Em relação ao MSL, não aborda litigância abusiva, mas possui elevada aderência em IA aplicada ao Direito.</t>
  </si>
  <si>
    <t>F_070</t>
  </si>
  <si>
    <t>web of science/Law and Human Behavior</t>
  </si>
  <si>
    <t>A.D. Redlich; K. Domagalski; S.A. Woestehoff; A. Dezember; J.A. Quas. 2022. DOI: 10.1037/lhb0000495</t>
  </si>
  <si>
    <t>Guilty Plea Hearings in Juvenile and Criminal Court (Audiências de Confissão de Culpa nas Varas da Infância e nos Tribunais Criminais)</t>
  </si>
  <si>
    <t>Tribunais da Infância e Tribunais Criminais dos estados da Califórnia e Virgínia (Estados Unidos). O estudo observou mais de 800 audiências de confissão de culpa.</t>
  </si>
  <si>
    <t>Não utiliza IA. Emprega observação sistemática das audiências por pesquisadores treinados para analisar a atuação judicial e a participação dos réus.</t>
  </si>
  <si>
    <t>Não trata de litigância. Analisa padrões de condução de audiências de confissão de culpa e a verificação dos requisitos de validade da manifestação do acusado.</t>
  </si>
  <si>
    <t>Identifica diferenças significativas entre tribunais na duração das audiências e na verificação da validade da confissão, constatando baixa participação dos réus e preocupação com a efetiva proteção das garantias processuais.</t>
  </si>
  <si>
    <t>Estudo empírico observacional. O resumo não informa limitações metodológicas. Em relação ao MSL, não aborda IA, análise de dados judiciais ou identificação de padrões de litigiosidade.</t>
  </si>
  <si>
    <t>F_188</t>
  </si>
  <si>
    <t>Eyal Katvan (2021). DOI: 10.35295/OSLS.IISL/0000-0000-0000-1186</t>
  </si>
  <si>
    <t>“Just in case”: Too much litigation?</t>
  </si>
  <si>
    <t>Perspectiva comparada/sociojurídica; síntese de workshop de Oñati sobre litigantes, litigância, juízes e advogados</t>
  </si>
  <si>
    <t>Não utiliza IA. Síntese temática de workshop e literatura sociojurídica.</t>
  </si>
  <si>
    <t>Examina excesso e insuficiência de litigância. Padrão identificado: quantidade inadequada de processos pode ameaçar o acesso à justiça; foco nos litigantes como usuários do sistema.</t>
  </si>
  <si>
    <t>Integra volume de litigância, disponibilidade de juízes e papel dos advogados; oferece base para análise de perfil litigante sem presumir que elevada frequência corresponda a abuso.</t>
  </si>
  <si>
    <t>Texto introdutório curto e panorâmico; não define limiar quantitativo nem método de detecção. Risco ético de rotular litigantes legítimos pelo volume. Fonte: https://doi.org/10.35295/OSLS.IISL/0000-0000-0000-1186</t>
  </si>
  <si>
    <t>F_072</t>
  </si>
  <si>
    <t>J.R. de Faria; H.Y. Xie; F. Steffek. 2025. DOI: 10.1007/s10506-025-09443-z</t>
  </si>
  <si>
    <t>Information Extraction from Employment Tribunal Judgments Using a Large Language Model (Extração de Informações de Decisões de Tribunais Trabalhistas Utilizando um Grande Modelo de Linguagem)</t>
  </si>
  <si>
    <t>UK Employment Tribunal (UKET), com análise de decisões trabalhistas do Reino Unido.</t>
  </si>
  <si>
    <t>Grande Modelo de Linguagem GPT-4 para extração automática de informações de decisões judiciais, com verificação manual da precisão. Extrai fatos, pedidos, normas, precedentes, resultado, ordens, remédios e fundamentos da decisão.</t>
  </si>
  <si>
    <t>Não trata de litigância. Identifica padrões informacionais em decisões trabalhistas e organiza dados relevantes para possível previsão de resultados.</t>
  </si>
  <si>
    <t>Demonstra que LLMs podem alcançar alta precisão na extração de informações jurídicas, com potencial para melhorar pesquisa jurídica, prática profissional e desenvolvimento de ferramentas preditivas em disputas trabalhistas.</t>
  </si>
  <si>
    <t>apresenta elevada aderência à extração de dados jurídicos e inteligência judicial.</t>
  </si>
  <si>
    <t>ID do Registro</t>
  </si>
  <si>
    <t>Base e Coleção</t>
  </si>
  <si>
    <t>Forma de Identificação / Palavras-chave</t>
  </si>
  <si>
    <t>Autor institucional; Ano; Identificador</t>
  </si>
  <si>
    <t>F_073</t>
  </si>
  <si>
    <t>Título / Assunto / Ementa</t>
  </si>
  <si>
    <t>web of science/ Canadian Journal of Law &amp; Jurisprudence</t>
  </si>
  <si>
    <t>A.E. Afrouzi. 2024. DOI: 10.1017/cjlj.2024.17</t>
  </si>
  <si>
    <t>John Robots, Thurgood Martian, and the Syntax Monster: A New Argument Against AI Judges (John Robots, Thurgood Marciano e o Monstro da Sintaxe: Um Novo Argumento Contra Juízes de IA)</t>
  </si>
  <si>
    <t>Tecnologia / Fonte de Dados / Método</t>
  </si>
  <si>
    <t>Sistema jurídico em geral. O resumo não identifica tribunal específico.</t>
  </si>
  <si>
    <t>Discussão teórica sobre sistemas de IA capazes de prever decisões judiciais com base em correlações e padrões sintáticos de textos jurídicos. Não apresenta arquitetura computacional específica.</t>
  </si>
  <si>
    <t>Não trata de litigância. Analisa a inadequação conceitual de juízes de IA para produzir decisões juridicamente válidas.</t>
  </si>
  <si>
    <t>Sustenta que, mesmo que a IA consiga prever como um bom juiz decidiria, sua resposta não se basearia nas razões jurídicas esperadas de uma decisão válida.</t>
  </si>
  <si>
    <t>Status de Inclusão</t>
  </si>
  <si>
    <t>Estudo teórico. Em relação ao MSL, contribui para o debate ético e jurídico sobre limites da IA judicial, mas não apresenta análise de dados, gestão da litigiosidade ou identificação de padrões processuais.</t>
  </si>
  <si>
    <t>Pesquisador / Revisor</t>
  </si>
  <si>
    <t>NT_CINUGEP_01</t>
  </si>
  <si>
    <t>F_191</t>
  </si>
  <si>
    <t>Web of Science Nextgen (Information &amp; Communications Technology Law)</t>
  </si>
  <si>
    <t>Hibah Alessa (2022). DOI: 10.1080/13600834.2022.2088060</t>
  </si>
  <si>
    <t>The role of Artificial Intelligence in Online Dispute Resolution: A brief and critical overview</t>
  </si>
  <si>
    <t>Resolução on-line de disputas — panorama geral, sem tribunal específico</t>
  </si>
  <si>
    <t>Agentes de IA em ODR como apoio ou substituição de técnicas tradicionais; o resumo não especifica modelos, dados de treinamento ou arquitetura computacional.</t>
  </si>
  <si>
    <t>Literatura cinzenta / Fonte institucional – TJTO / CINUGEP</t>
  </si>
  <si>
    <t>Não examina litigância abusiva. Identifica riscos de interação humano-máquina, perda de informações emocionais/abstratas e efeitos normativos ocultos.</t>
  </si>
  <si>
    <t>Identificação manual no compilado “NTs- CINUGEP.pdf”; registro não proveniente das strings das bases acadêmicas</t>
  </si>
  <si>
    <t>Conclui que IA pode ampliar ou prejudicar acesso à justiça; recomenda supervisão, regulação e desenvolvimento cuidadoso dos sistemas de ODR.</t>
  </si>
  <si>
    <t>CINUGEP/TJTO; 2021; Nota Técnica nº 1</t>
  </si>
  <si>
    <t>Estudo do perfil de demandas sobre PASEP; falta de clareza nas petições; dubiedade ou dissonância entre causa de pedir e pedido.</t>
  </si>
  <si>
    <t>Revisão crítica, não valida desempenho de ferramenta. Limitações éticas centrais: explicabilidade, supervisão humana, valores de justiça, interação, vieses e risco de exclusão. Fonte: https://doi.org/10.1080/13600834.2022.2088060</t>
  </si>
  <si>
    <t>Tribunal de Justiça do Estado do Tocantins (TJTO); Centro de Inteligência/CINUGEP</t>
  </si>
  <si>
    <t>Análise administrativa de conjunto de demandas; cotejo entre causa de pedir, pedido e jurisprudência.</t>
  </si>
  <si>
    <t>Demandas repetitivas; incongruência entre causa de pedir e pedido; possível manipulação dos fatos.</t>
  </si>
  <si>
    <t>Alertou para incongruência entre causa de pedir e pedido em ações PASEP e sugeriu boas práticas de saneamento, sem caráter vinculante.</t>
  </si>
  <si>
    <t>Documento institucional de natureza administrativa/orientativa. Confirmar, na revisão final, data, SEI, relatoria e eventuais anexos diretamente no documento.</t>
  </si>
  <si>
    <t>Incluída – fonte institucional identificada manualmente</t>
  </si>
  <si>
    <t>NT_CINUGEP_02</t>
  </si>
  <si>
    <t>CINUGEP/TJTO; 2021; Nota Técnica nº 2</t>
  </si>
  <si>
    <t>Demandas repetitivas; alegação de fraude em empréstimos consignados; padrões documentais e processuais; análise sobre uso predatório da Justiça.</t>
  </si>
  <si>
    <t>F_077</t>
  </si>
  <si>
    <t>Amostragem de processos ajuizados entre 2018 e 2020; identificação de práticas reiteradas e boas práticas.</t>
  </si>
  <si>
    <t>web of science/A&amp;C – Revista de Direito Administrativo &amp; Constitucional</t>
  </si>
  <si>
    <t>Litigância predatória em consignados; multiplicidade de contratos/processos; inconsistências documentais; causa de pedir genérica.</t>
  </si>
  <si>
    <t>Sistematizou situações indicativas de uso predatório e boas práticas: prevenção, emenda da inicial, conferência documental, representação e litigância de má-fé.</t>
  </si>
  <si>
    <t>L.T. de Souza; C. Toledo. 2025. DOI: 10.21056/aec.v25i101.2071</t>
  </si>
  <si>
    <t>Actuarial Criminal Policy and Judicial Decision-Making by Artificial Intelligence Systems: The Rescue of Legal Principles (Política Criminal Atuarial e Tomada de Decisão Judicial por Sistemas de Inteligência Artificial: O Resgate dos Princípios Jurídicos)</t>
  </si>
  <si>
    <t>Poder Judiciário brasileiro, com pesquisa empírica no Conselho Nacional de Justiça (CNJ) e enfoque na política criminal atuarial.</t>
  </si>
  <si>
    <t>Discussão sobre o uso de Inteligência Artificial como mecanismo de tomada de decisão judicial, relacionado à lógica atuarial de classificação de grupos sociais por risco. Não apresenta arquitetura computacional específica.</t>
  </si>
  <si>
    <t>F_044</t>
  </si>
  <si>
    <t>Não trata de litigância. Analisa padrões de categorização de grupos sociais por risco, no contexto da política criminal atuarial e do uso de IA no Judiciário.</t>
  </si>
  <si>
    <t>NT_CINUGEP_03</t>
  </si>
  <si>
    <t>O estudo conclui que o uso da IA pelo Judiciário brasileiro é uma realidade em construção e propõe resgatar princípios jurídicos para proteger o Estado Democrático de Direito diante da lógica econômico-atuarial.</t>
  </si>
  <si>
    <t>Pesquisa bibliográfica e empírica no CNJ. O resumo não informa limitações metodológicas. Em relação ao MSL, contribui para governança e riscos éticos da IA, mas não trata de litigância abusiva ou perfilamento de litigantes processuais.</t>
  </si>
  <si>
    <t>Katyal; 2022; 10.1162/daed_a_01919</t>
  </si>
  <si>
    <t>CINUGEP/TJTO; 2021; Nota Técnica nº 3</t>
  </si>
  <si>
    <t>Democracy &amp; Distrust in an Era of Artificial Intelligence</t>
  </si>
  <si>
    <t>Uso predatório da Justiça e demandas repetitivas; PASEP; justiça gratuita; comprovantes de endereço de terceiros; juiz natural.</t>
  </si>
  <si>
    <t>Revisão judicial de decisões baseadas em IA</t>
  </si>
  <si>
    <t>Análise de demandas repetitivas e padrões processuais/documentais; consolidação de boas práticas.</t>
  </si>
  <si>
    <t>IA decisória, automação, predição e privatização</t>
  </si>
  <si>
    <t>Uso predatório; distribuição repetitiva; documentação/endereço e justiça gratuita; possível escolha artificial de foro.</t>
  </si>
  <si>
    <t>Consolidou sinais de uso predatório e medidas de prevenção/saneamento em demandas repetitivas.</t>
  </si>
  <si>
    <t>Discute controle judicial, devido processo e igualdade na era da IA</t>
  </si>
  <si>
    <t>NT_CINUGEP_04</t>
  </si>
  <si>
    <t>Não apresenta arquitetura de dados nem foco em litigância abusiva</t>
  </si>
  <si>
    <t>CINUGEP/TJTO; 2022; Nota Técnica nº 4</t>
  </si>
  <si>
    <t>Competência para julgamento de crimes praticados contra adolescentes e crianças do sexo feminino.</t>
  </si>
  <si>
    <t>Análise normativa e jurisprudencial de conflitos de competência.</t>
  </si>
  <si>
    <t>Não é foco principal em litigância abusiva; controvérsia de competência e uniformização.</t>
  </si>
  <si>
    <t>Propôs medidas para uniformização da competência e proteção imediata em conflitos de competência.</t>
  </si>
  <si>
    <t>NT_CINUGEP_05</t>
  </si>
  <si>
    <t>F_078</t>
  </si>
  <si>
    <t>web of science/Quaestio Iuris</t>
  </si>
  <si>
    <t>CINUGEP/TJTO; 2023; Nota Técnica nº 5</t>
  </si>
  <si>
    <t>R.B. Valadão; B.D. Dias. 2023. DOI: 10.12957/rqi.2023.67194</t>
  </si>
  <si>
    <t>Demandas repetitivas e de massa com uso predatório; compartilhamento de informações entre Centros de Inteligência; padronização, metodologia e canal seguro.</t>
  </si>
  <si>
    <t>Artificial Intelligence and Reduction in Litigation: Evolution of the Extrajudicial Solution for Conflicts (Inteligência Artificial e Redução da Litigiosidade: Evolução da Solução Extrajudicial de Conflitos)</t>
  </si>
  <si>
    <t>Estudo institucional e proposta de governança/compartilhamento de informações entre Centros de Inteligência.</t>
  </si>
  <si>
    <t>Sistema de Justiça brasileiro, com enfoque na redução da litigiosidade antes do ajuizamento da demanda.</t>
  </si>
  <si>
    <t>Litigância predatória/massiva; necessidade de compartilhamento estruturado de sinais e boas práticas.</t>
  </si>
  <si>
    <t>Propôs governança para compartilhamento seguro e padronizado de informações sobre demandas predatórias.</t>
  </si>
  <si>
    <t>Discussão sobre uso de Inteligência Artificial em soluções extrajudiciais de conflitos, especialmente em conflitos com padrões repetitivos. Não apresenta arquitetura computacional específica.</t>
  </si>
  <si>
    <t>Analisa a litigiosidade excessiva no Brasil e conflitos com padrões repetitivos. Não aborda diretamente litigância abusiva.</t>
  </si>
  <si>
    <t>Conclui que a IA pode auxiliar na resolução de conflitos antes da judicialização e gerar impacto positivo na redução da litigiosidade excessiva brasileira.</t>
  </si>
  <si>
    <t>O resumo informa uso de raciocínio dedutivo, análise cartesiana e exame quantitativo e qualitativo de relatórios oficiais e literatura jurídica. Não apresenta modelo técnico de IA nem mineração de dados processuais.</t>
  </si>
  <si>
    <t>NT_CINUGEP_06</t>
  </si>
  <si>
    <t>CINUGEP/TJTO; 2023; Nota Técnica nº 6</t>
  </si>
  <si>
    <t>Competência material das Varas de Execuções Fiscais e Saúde de Palmas em causas sobre Plansaúde/Servir (saúde suplementar).</t>
  </si>
  <si>
    <t>Levantamentos no e-Proc (2019–2021) e análise de conflitos de competência/jurisprudência.</t>
  </si>
  <si>
    <t>F_079</t>
  </si>
  <si>
    <t>Não é foco principal em litigância abusiva; dispersão jurisprudencial e conflito de competência.</t>
  </si>
  <si>
    <t>Identificou dispersão jurisprudencial e propôs solução institucional para uniformização da competência.</t>
  </si>
  <si>
    <t>J.P. Germinari; V.M. do Carmo; F.G. Ayuda. 2024. DOI: 10.18256/2238-0604.2024.v20i2.5148</t>
  </si>
  <si>
    <t>Artificial Intelligence, Process Automation, Interoperability and Cost-Effectiveness: Where Is the Problem with the Effectiveness of Brazilian Justice? (Inteligência Artificial, Automação Processual, Interoperabilidade e Custo-Efetividade: Onde Está o Problema da Efetividade da Justiça Brasileira?)</t>
  </si>
  <si>
    <t>Poder Judiciário brasileiro, com análise da efetividade, automação, interoperabilidade e custo-benefício da modernização judicial.</t>
  </si>
  <si>
    <t>Discussão sobre Inteligência Artificial, automação processual e interoperabilidade como alternativas para aumentar produtividade, fluidez processual e efetividade da prestação jurisdicional. Não apresenta arquitetura computacional específica.</t>
  </si>
  <si>
    <t>Não trata de litigância. Analisa aumento de demandas judiciais, acervo pendente e dificuldades de efetividade da Justiça brasileira.</t>
  </si>
  <si>
    <t>O estudo aponta IA, automação e interoperabilidade como alternativas para melhorar atos técnicos, ampliar fluidez processual e avaliar o custo-benefício da modernização em comparação ao gasto com recursos humanos.</t>
  </si>
  <si>
    <t>Pesquisa dedutiva. O resumo não informa limitações metodológicas. Em relação ao MSL, contribui para governança digital e gestão judicial, mas não identifica padrões de litigância abusiva.</t>
  </si>
  <si>
    <t>NT_CINUGEP_07</t>
  </si>
  <si>
    <t>CINUGEP/TJTO; 2023; Nota Técnica nº 7</t>
  </si>
  <si>
    <t>Ação coletiva; cumprimento de sentença; litispendência e multiplicidade de processos executórios contra a Fazenda Pública com o mesmo objeto.</t>
  </si>
  <si>
    <t>Análise conjunta de procedimentos administrativos e processos executórios; levantamento de duplicidades.</t>
  </si>
  <si>
    <t>Duplicidade/litispendência em cumprimentos de sentença; pagamentos em duplicidade; possíveis irregularidades.</t>
  </si>
  <si>
    <t>F_081</t>
  </si>
  <si>
    <t>Identificou risco de duplicidade/litispendência e propôs integração de levantamentos, comunicação institucional e melhoria de BI.</t>
  </si>
  <si>
    <t>web of science/JURIX 2024 – Legal Knowledge and Information Systems</t>
  </si>
  <si>
    <t>M.Z. Costa; D.F. Robson; T.B.P. Vieira; J.R. Bourguet; G. Guizzardi; J.P.A. Almeida. 2024. DOI: 10.3233/FAIA241248</t>
  </si>
  <si>
    <t>Automated Semantic Annotation Pipeline for Brazilian Judicial Decisions (Pipeline Automatizado de Anotação Semântica para Decisões Judiciais Brasileiras)</t>
  </si>
  <si>
    <t>Sistema de Justiça Federal brasileiro, utilizando decisões judiciais obtidas no portal oficial de jurisprudência da Turma Nacional de Uniformização (TNU – National Uniformization Panel).</t>
  </si>
  <si>
    <t>Pipeline automatizado de anotação semântica baseado em Processamento de Linguagem Natural (NLP). Os modelos são treinados em um cenário de Few-Shot Learning, utilizando um conjunto de treinamento previamente anotado por especialistas jurídicos. A qualidade das anotações é avaliada por Precisão (Precision) e Revocação (Recall). Os resultados são convertidos em nanopublicações baseadas em RDF, alinhadas a uma ontologia jurídica de referência, acompanhadas de informações de proveniência, incluindo a identificação do modelo de aprendizado de máquina responsável por cada anotação.</t>
  </si>
  <si>
    <t>Não trata de litigância. O estudo concentra-se na identificação automática de informações semânticas presentes em decisões judiciais para facilitar consultas, recuperação de informações e análise estruturada dos dados judiciais.</t>
  </si>
  <si>
    <t>O estudo demonstra que a anotação semântica automatizada permite transformar decisões judiciais escritas em linguagem natural em dados estruturados e interoperáveis, reduzindo barreiras para consulta e análise automatizada. A utilização de ontologia jurídica e nanopublicações em RDF favorece a reutilização das informações, o desenvolvimento de aplicações de Inteligência Judicial e a rastreabilidade das anotações produzidas pelos modelos de IA.</t>
  </si>
  <si>
    <t>NT_CINUGEP_08</t>
  </si>
  <si>
    <t>resumo apenas informa que a qualidade do sistema foi avaliada por precisão e revocação.O estudo não identifica padrões de litigância abusiva, litigância predatória, comportamento de litigantes ou demandas repetitivas; também não propõe modelos para perfilamento de litigantes. Seu foco é a infraestrutura de anotação semântica para organização e interoperabilidade de decisões judiciais.</t>
  </si>
  <si>
    <t>CINUGEP/TJTO; Não explicitado no cabeçalho extraído; Nota Técnica nº 8</t>
  </si>
  <si>
    <t>ENERGISA x seguradoras; ações regressivas por danos elétricos; pertinência de adoção de solução relacionada a IRDR e risco de decisões díspares.</t>
  </si>
  <si>
    <t>Análise de risco de multiplicação; comparação com requerimento de IRDR do TJSP.</t>
  </si>
  <si>
    <t>Litigiosidade repetitiva; risco de multiplicação de processos idênticos e decisões conflitantes.</t>
  </si>
  <si>
    <t>Avaliou risco de decisões díspares em demandas regressivas e a pertinência de tratamento por técnica de precedentes.</t>
  </si>
  <si>
    <t>F_082</t>
  </si>
  <si>
    <t>web of science/Conference – Legal Knowledge and Information Systems</t>
  </si>
  <si>
    <t>A. Alves; P. Miranda; R. Mello; A. Nascimento. 2023. DOI: 10.3233/FAIA230975</t>
  </si>
  <si>
    <t>Automatic Simplification of Legal Texts in Portuguese Using Machine Learning (Simplificação Automática de Textos Jurídicos em Português Utilizando Aprendizado de Máquina)</t>
  </si>
  <si>
    <t>Poder Judiciário brasileiro, com dataset de 100 resumos do TRF da 5ª Região (TRF5) e 100 resumos do Supremo Tribunal Federal (STF).</t>
  </si>
  <si>
    <t>Utiliza Simplificação Automática de Texto (ATS), técnica de Processamento de Linguagem Natural (NLP), para tornar textos jurídicos mais legíveis. O estudo avaliou quatro métodos: MUSS(EN), MUSS(PT), Transformers e NMT + Attention, com base em métricas de legibilidade.</t>
  </si>
  <si>
    <t>Não trata de litigância. O padrão analisado é a complexidade linguística dos textos judiciais, que dificulta a comunicação entre o Judiciário e a população.</t>
  </si>
  <si>
    <t>Os métodos testados melhoraram o índice de legibilidade dos textos em comparação aos resumos originais, tornando-os mais acessíveis. O impacto está relacionado ao acesso à justiça, linguagem simples e melhoria da comunicação institucional.</t>
  </si>
  <si>
    <t>não trata de litigância abusiva, perfilamento de litigantes ou padrões processuais, mas contribui para o eixo de acesso responsável à justiça.</t>
  </si>
  <si>
    <t>NT_CINUGEP_09</t>
  </si>
  <si>
    <t>CINUGEP/TJTO; Não explicitado no cabeçalho extraído; Nota Técnica nº 9</t>
  </si>
  <si>
    <t>Revisão Geral Anual de agentes públicos; dispersão jurisprudencial; Tema 1075 e IRDR 0005566-19.2021.8.27.2700/TO.</t>
  </si>
  <si>
    <t>F_207</t>
  </si>
  <si>
    <t>Levantamento quantitativo de pelo menos 2.104 processos e análise de jurisprudência/precedentes.</t>
  </si>
  <si>
    <t>Google Scholar / SCISPACE</t>
  </si>
  <si>
    <t>Litigiosidade repetitiva; dispersão de teses jurídicas em ações de cobrança contra a Fazenda Pública.</t>
  </si>
  <si>
    <t>Marcelo Veiga Franco; 2018; DOI não identificado no documento</t>
  </si>
  <si>
    <t>Administração Pública como litigante habitual: a necessária mudança da cultura jurídica de tratamento dos conflitos</t>
  </si>
  <si>
    <t>Evidenciou alta repetitividade e dispersão jurisprudencial, relacionando a matéria a precedentes qualificados.</t>
  </si>
  <si>
    <t>Brasil; Administração Pública em todas as esferas e sua atuação perante o Poder Judiciário; abordagem sistêmica, sem tribunal único</t>
  </si>
  <si>
    <t>Não utiliza IA. Pesquisa jurídico-dogmática, bibliográfica, documental e análise de dados públicos sobre litigiosidade</t>
  </si>
  <si>
    <t>Administração Pública como litigante habitual; cultura adversarial; judicialização serial de conflitos resolvíveis administrativamente; insistência em teses com baixa chance de êxito; uso estratégico da demora e do regime de precatórios</t>
  </si>
  <si>
    <t>Sustenta mudança de cultura para prevenção, consensualidade e sistema multiportas. A redução de demandas evitáveis melhora acesso à justiça, taxa de congestionamento, eficiência administrativa e gastos públicos. Destaca que repetir atos administrativos contrários a situações jurídicas estabilizadas pode gerar condenações e custos evitáveis</t>
  </si>
  <si>
    <t>Tese ampla e predominantemente jurídico-institucional; dados ficam condicionados ao período analisado. A habitualidade não é necessariamente abusiva, mas determinadas práticas seriais e estratégicas são qualificadas como censuráveis. Não oferece modelo automatizado de detecção</t>
  </si>
  <si>
    <t>NT_CINUGEP_10</t>
  </si>
  <si>
    <t>CINUGEP/TJTO; 2023; Nota Técnica nº 10</t>
  </si>
  <si>
    <t>Adesão à Nota Técnica CIJMG nº 01/2022 sobre litigância predatória/artificial e boas práticas de prevenção e enfrentamento.</t>
  </si>
  <si>
    <t>Adesão e contextualização de Nota Técnica do CIJMG; compilação de estudos, casos reais e boas práticas.</t>
  </si>
  <si>
    <t>Litigância predatória/artificial; sinais documentais e processuais compilados a partir de casos reais.</t>
  </si>
  <si>
    <t>F_046</t>
  </si>
  <si>
    <t>Internalizou no TJTO boas práticas do CIJMG para prevenção e enfrentamento da litigância predatória.</t>
  </si>
  <si>
    <t>F_209</t>
  </si>
  <si>
    <t>Bleiweiss; 2022; 10.5220/0010974300003116</t>
  </si>
  <si>
    <t>Raquel Barofaldi Bueno; Priscilla Pereira da Costa Corrêa; 2022; DOI 10.26668/IndexLawJournals/2526-026X/2022.v8i2.9286</t>
  </si>
  <si>
    <t>Issue Area Discovery from Legal Opinion Summaries using Neural Text Processing</t>
  </si>
  <si>
    <t>Centros de Inteligência do Poder Judiciário: um olhar retrospectivo sobre as circunstâncias de seu surgimento</t>
  </si>
  <si>
    <t>NT_CINUGEP_11</t>
  </si>
  <si>
    <t>Poder Judiciário brasileiro; Justiça Federal, Estadual e do Trabalho; CNJ e Centros de Inteligência locais</t>
  </si>
  <si>
    <t>Decisões judiciais; classificação por área temática</t>
  </si>
  <si>
    <t>Ferramentas de tecnologia da informação, diagnósticos estatísticos e compartilhamento de conhecimento em rede. PLN é apontado como tecnologia futura necessária; o estudo não implementa nem testa modelo de IA</t>
  </si>
  <si>
    <t>CINUGEP/TJTO; 2023; Nota Técnica nº 11</t>
  </si>
  <si>
    <t>Desconto previdenciário de policiais militares e bombeiros militares inativos; ações sobre a Lei Federal nº 13.954/2019; aplicação de precedentes.</t>
  </si>
  <si>
    <t>Litigiosidade repetitiva e demandas com potencial proliferador; importância do perfil das lides e dos litigantes, e não apenas do volume. Não apresenta classificação operacional de abuso ou predação</t>
  </si>
  <si>
    <t>Análise de precedentes qualificados e do comportamento de distribuição de novas ações.</t>
  </si>
  <si>
    <t>Processamento neural de texto para classificar resumos de decisões</t>
  </si>
  <si>
    <t>Litigiosidade repetitiva; multiplicação de ações apesar de precedente qualificado.</t>
  </si>
  <si>
    <t>O perfil dos litígios, o crescimento de soluções tecnológicas e o movimento interno da magistratura foram centrais para o surgimento dos Centros; a Resolução CNJ nº 374/2021 foi decisiva para a expansão. Os Centros favorecem prevenção, monitoramento e soluções sistêmicas, coletivas e interinstitucionais</t>
  </si>
  <si>
    <t>Orientou observância de precedentes superiores para racionalizar demandas repetitivas sobre contribuição previdenciária.</t>
  </si>
  <si>
    <t>Padrões temáticos em decisões judiciais</t>
  </si>
  <si>
    <t>Revisão narrativa histórica e qualitativa, sem teste causal de impacto. Sistemas processuais ainda não avaliam qualitativamente o conteúdo judicializado. Desafios: legitimação institucional, interoperabilidade, dados, PLN e risco de manter foco gerencial apenas quantitativo</t>
  </si>
  <si>
    <t>Demonstra classificação automática de áreas jurídicas a partir de resumos</t>
  </si>
  <si>
    <t>NT_CINUGEP_12</t>
  </si>
  <si>
    <t>CINUGEP/TJTO; 2023; Nota Técnica nº 12</t>
  </si>
  <si>
    <t>Protocolo de atuação no enfrentamento às demandas predatórias, com ênfase em boas práticas no segundo grau e regularidade da representação processual.</t>
  </si>
  <si>
    <t>Análise institucional de demandas predatórias e proposição de protocolo de boas práticas no segundo grau.</t>
  </si>
  <si>
    <t>F_085</t>
  </si>
  <si>
    <t>Demandas predatórias; irregularidade de procurações/representação; multiplicidade recursal.</t>
  </si>
  <si>
    <t>web of science/GRUR International</t>
  </si>
  <si>
    <t>Estendeu o enfrentamento das demandas predatórias ao segundo grau, com medidas de regularização da representação processual.</t>
  </si>
  <si>
    <t>M.G. Valente; A.P. Lana; A.P. Houang. 2025. DOI: 10.1093/grurint/ikae149</t>
  </si>
  <si>
    <t>Copyright and Research in Latin America: Law, Courts, and Perceptions (Direito Autoral e Pesquisa na América Latina: Direito, Tribunais e Percepções)</t>
  </si>
  <si>
    <t>Legislação, jurisprudência e percepção de atores institucionais em seis países da América Latina, com destaque para o Brasil. Não analisa tribunal específico.</t>
  </si>
  <si>
    <t>Não apresenta arquitetura de IA. O estudo apenas menciona que técnicas modernas de análise de dados e sistemas de Inteligência Artificial tornam mais evidente a necessidade de aperfeiçoar as exceções ao direito autoral para pesquisa.</t>
  </si>
  <si>
    <t>Não trata de litigância.</t>
  </si>
  <si>
    <t>NT_CINUGEP_13</t>
  </si>
  <si>
    <t>Demonstra que os países latino-americanos possuem poucas exceções legais ao direito autoral para pesquisa científica. Conclui que é necessário ampliar o debate público, aperfeiçoar a legislação e equilibrar proteção autoral e liberdade de pesquisa, especialmente em estudos envolvendo IA.</t>
  </si>
  <si>
    <t>CINUGEP/TJTO; 2023; Nota Técnica nº 13</t>
  </si>
  <si>
    <t>Crescente litigiosidade tributária sob o aspecto de litigância predatória; distribuição massiva, litispendência, procurações replicadas e dispersão jurisprudencial.</t>
  </si>
  <si>
    <t>Levantamento de perfil de demandas repetitivas; análise de concentração por advogado, litispendência e documentos.</t>
  </si>
  <si>
    <t>Distribuição massiva; litispendência; procurações replicadas; possível manipulação documental; concentração por patrono.</t>
  </si>
  <si>
    <t>Identificou fortes indícios de litigância predatória e concentração atípica de distribuição, com repercussão na eficiência e celeridade.</t>
  </si>
  <si>
    <t>F_087</t>
  </si>
  <si>
    <t>web of science/JURIX 2025 – Legal Knowledge and Information Systems</t>
  </si>
  <si>
    <t>NT_CINUGEP_14</t>
  </si>
  <si>
    <t>L. Zhang; J. Savelka; K. Ashley. 2025. DOI: 10.3233/FAIA251592</t>
  </si>
  <si>
    <t>F_047</t>
  </si>
  <si>
    <t>Do LLMs Truly “Understand” When a Precedent Is Overruled? (Os LLMs Realmente “Compreendem” Quando um Precedente é Superado?)</t>
  </si>
  <si>
    <t>CINUGEP/TJTO; Não explicitado no cabeçalho extraído; Nota Técnica nº 14</t>
  </si>
  <si>
    <t>Suprema Corte dos Estados Unidos, com base de 236 pares de casos para identificação de relações de superação de precedentes (overruling).</t>
  </si>
  <si>
    <t>Estudo sistêmico sobre litigância potencialmente predatória no TJTO; repercussão econômica, política, social e jurídica; análise de casos, BI/Qlik e estatística.</t>
  </si>
  <si>
    <t>Monitoramento de casos; amostragem; coleta de dados no BI/Qlik; análise estatística e repercussão jurídica.</t>
  </si>
  <si>
    <t>Litigância potencialmente predatória; padrões sistêmicos identificados por monitoramento, amostragem e análise estatística.</t>
  </si>
  <si>
    <t>Avaliação de Grandes Modelos de Linguagem (LLMs) com janelas de contexto extensas para verificar sua capacidade de identificar relações de superação entre precedentes em documentos jurídicos longos.</t>
  </si>
  <si>
    <t>Lai et al.; 2024; 10.1016/j.aiopen.2024.09.002</t>
  </si>
  <si>
    <t>Produziu diagnóstico sistêmico apoiado em BI/Qlik e estatística sobre litigância predatória e sua repercussão institucional.</t>
  </si>
  <si>
    <t>Não trata de litigância.  Analisa padrões de compreensão de precedentes e relações de overruling em jurisprudência de common law.</t>
  </si>
  <si>
    <t>Large language models in law: A survey</t>
  </si>
  <si>
    <t>O estudo identifica limitações relevantes dos LLMs: pior desempenho em casos históricos, raciocínio superficial baseado em heurísticas e falhas em tarefas abertas complexas. Também propõe benchmark realista para avaliação de compreensão jurídica em documentos longos.</t>
  </si>
  <si>
    <t>Sistema judicial em sentido amplo</t>
  </si>
  <si>
    <t>O próprio resumo aponta limitações dos modelos: sensibilidade temporal, raciocínio superficial e falhas dependentes do contexto. Em relação ao MSL, tem aderência à IA jurídica e governança de precedentes, mas não trata de litigância abusiva ou gestão da litigiosidade.</t>
  </si>
  <si>
    <t>LLMs jurídicos para orientação jurídica e apoio a juízes</t>
  </si>
  <si>
    <t>NT_CINUGEP_15</t>
  </si>
  <si>
    <t>Revisa aplicações, limitações e recomendações para LLMs no Direito</t>
  </si>
  <si>
    <t>CINUGEP/TJTO; Não explicitado no cabeçalho extraído; Nota Técnica nº 15</t>
  </si>
  <si>
    <t>Adesão à Nota Técnica CIJMG 12/2024 e Tema Repetitivo 1198/STJ; documentos mínimos e emenda da inicial diante de indícios de litigância predatória.</t>
  </si>
  <si>
    <t>Estudo de revisão; não trata diretamente de litigância abusiva</t>
  </si>
  <si>
    <t>Análise do Tema 1198/STJ e adesão a nota técnica externa, acrescida de dados estatísticos do TJTO.</t>
  </si>
  <si>
    <t>Litigância predatória; insuficiência documental; necessidade de lastro mínimo da pretensão.</t>
  </si>
  <si>
    <t>Relacionou o protocolo local ao Tema 1198/STJ e reforçou exigência de documentação mínima quando houver indícios de litigância predatória.</t>
  </si>
  <si>
    <t>NT_CINUGEP_16</t>
  </si>
  <si>
    <t>F_088</t>
  </si>
  <si>
    <t>web of science/ Artificial Intelligence and Law</t>
  </si>
  <si>
    <t>CINUGEP/TJTO; Não explicitado no cabeçalho extraído; Nota Técnica nº 16</t>
  </si>
  <si>
    <t>Assinaturas eletrônicas, procuração judicial e outros documentos eletrônicos; protocolo/checklist para tratamento de indícios de anomalias da litigiosidade.</t>
  </si>
  <si>
    <t>R. Tinarrage; H. Ennes; L. Resck; L.T. Gomes; J.R. Ponciano; J. Poco. 2025. DOI: 10.1007/s10506-025-09458-6</t>
  </si>
  <si>
    <t>Grupo de trabalho; elaboração de protocolo/checklist de conferência de documentos assinados eletronicamente.</t>
  </si>
  <si>
    <t>Empirical Analysis of Binding Precedent Efficiency in Brazilian Supreme Court via Case Classification (Análise Empírica da Eficiência das Súmulas Vinculantes no Supremo Tribunal Federal por meio de Classificação de Casos)</t>
  </si>
  <si>
    <t>Anomalias documentais em assinaturas eletrônicas e instrumentos de mandato.</t>
  </si>
  <si>
    <t>Estruturou checklist para validação de assinaturas/documentos eletrônicos e tratamento proporcional de anomalias.</t>
  </si>
  <si>
    <t>Supremo Tribunal Federal (STF), com análise de cinco súmulas vinculantes: 11, 14, 17, 26 e 37.</t>
  </si>
  <si>
    <t>Utiliza Processamento de Linguagem Natural (NLP) e técnicas de classificação de casos para recuperar decisões semelhantes. Compara TF-IDF, LSTM, Longformer e regex para classificar decisões relacionadas aos temas das súmulas vinculantes.</t>
  </si>
  <si>
    <t>Analisa demandas repetitivas e a eficiência de precedentes vinculantes destinados a reduzir a exposição do STF a casos semelhantes. Não trata diretamente de litigância abusiva, mas aborda padrão de repetição processual.</t>
  </si>
  <si>
    <t>O estudo indica que algumas súmulas vinculantes podem falhar na redução de demandas semelhantes e, em certos casos, aparentam gerar novas demandas. Também conclui que as causas da ineficiência são heterogêneas e dependem de cada precedente.</t>
  </si>
  <si>
    <t>NT_CINUGEP_17</t>
  </si>
  <si>
    <t>O resumo aponta que não é possível identificar uma causa única para a falha das súmulas vinculantes em responder às demandas repetitivas. Em relação ao MSL, possui alta aderência por combinar IA, classificação de casos, precedentes e análise empírica de litigiosidade repetitiva no STF.</t>
  </si>
  <si>
    <t>CINUGEP/TJTO; 2025; Nota Técnica nº 17</t>
  </si>
  <si>
    <t>Focos de anomalia da litigância relacionados ao Sistema de Informações de Crédito (SCR) e tratamento judicial adequado.</t>
  </si>
  <si>
    <t>Análise de casos e padrões associados ao SCR; proposição de tratamento judicial adequado.</t>
  </si>
  <si>
    <t>Anomalias de litigiosidade em demandas relacionadas ao SCR.</t>
  </si>
  <si>
    <t>Sistematizou focos de anomalia em demandas relativas ao SCR e orientações para tratamento judicial.</t>
  </si>
  <si>
    <t>NT_CINUGEP_18</t>
  </si>
  <si>
    <t>CINUGEP/TJTO; Não explicitado no cabeçalho extraído; Nota Técnica nº 18</t>
  </si>
  <si>
    <t>Ampliação da eficácia da Recomendação CNJ nº 159/2024 no TJTO; identificação, tratamento e prevenção da litigância abusiva.</t>
  </si>
  <si>
    <t>Análise normativa da Recomendação CNJ nº 159/2024 e proposição de medidas para aplicação no TJTO.</t>
  </si>
  <si>
    <t>Litigância abusiva conforme Recomendação CNJ nº 159/2024.</t>
  </si>
  <si>
    <t>Propôs ampliar a aplicação da Recomendação CNJ nº 159/2024 no TJTO.</t>
  </si>
  <si>
    <t>NT_CINUGEP_19</t>
  </si>
  <si>
    <t>CINUGEP/TJTO; Não explicitado no cabeçalho extraído; Nota Técnica nº 19</t>
  </si>
  <si>
    <t>Padronização do cadastramento de classes e assuntos processuais; qualidade de dados e decisões baseadas em dados.</t>
  </si>
  <si>
    <t>Análise de governança e qualidade de dados processuais; classes e assuntos; uso de painéis de BI.</t>
  </si>
  <si>
    <t>Não é foco exclusivo em litigância abusiva; risco de baixa qualidade cadastral comprometer análises e inteligência judicial.</t>
  </si>
  <si>
    <t>Reforçou a padronização cadastral como requisito de confiabilidade dos dados, painéis e decisões gerenciais.</t>
  </si>
  <si>
    <t>F_089</t>
  </si>
  <si>
    <t>NT_CINUGEP_20</t>
  </si>
  <si>
    <t>CINUGEP/TJTO; 2026; Nota Técnica nº 20</t>
  </si>
  <si>
    <t>Descontos indevidos em benefícios previdenciários e providências quanto à inclusão do INSS no polo passivo.</t>
  </si>
  <si>
    <t>Litigância Predatória; Conselho Nacional de Justiça; Acesso à Justiça;Abuso processual.</t>
  </si>
  <si>
    <t>Análise institucional de aumento de demandas após descontos associativos indevidos e questão de competência/legitimidade do INSS.</t>
  </si>
  <si>
    <t>Litigiosidade massiva/repetitiva decorrente de descontos indevidos em benefícios previdenciários.</t>
  </si>
  <si>
    <t>Cicero Antonio Pereira; Henrique Rodrigues Lelis (2025) DOI: doi.org/10.51891/rease.v11i10.21507</t>
  </si>
  <si>
    <t>Analisou o aumento de demandas de descontos indevidos e a repercussão da inclusão do INSS no polo passivo.</t>
  </si>
  <si>
    <t xml:space="preserve">O PAPEL DO CNJ NO COMBATE À LITIGÂNCIA PREDATÓRIA   CNJ, Corregedoria Nacional, STF e Tribunais Estaduais (TJSP, TJPE, TJMG, TJMS, TJRJ). </t>
  </si>
  <si>
    <t>Sistemas de inteligência de dados, painéis de monitoramento integrados, alertas automáticos e cruzamento de bases digitais integradas.</t>
  </si>
  <si>
    <t>NT_CINUGEP_21</t>
  </si>
  <si>
    <t>Litigância predatória / abusiva (demandas sem lastro, artificiais, fraudulentas, fatiamento/fracionamento de causas, procurações fraudadas, falsificação de comprovantes de endereço, apropriação indevida de valores e exploração de vulneráveis).</t>
  </si>
  <si>
    <t>CINUGEP/TJTO; 2026; Nota Técnica nº 21</t>
  </si>
  <si>
    <t>Consolidação da Recomendação CNJ nº 159/2024 como marco estratégico unificado nacional, gerando alertas precoces, perícias eficientes, saneamento financeiro-processual e proteção a cidadãos hipossuficientes.</t>
  </si>
  <si>
    <t>Demandas abusivas envolvendo correção monetária de verbas funcionais pagas administrativamente em atraso pelo Estado do Tocantins/IGEPREV.</t>
  </si>
  <si>
    <t xml:space="preserve"> Dependência extrema de evolução tecnológica contínua e da integração em rede ativa e articulada com agentes externos ao Judiciário (OAB, Defensoria, MP).</t>
  </si>
  <si>
    <t>Triagem, saneamento inicial e racionalização de demandas repetitivas; origem em comunicação do Núcleo de Justiça 4.0 Apoio.</t>
  </si>
  <si>
    <t>Demandas repetitivas/abusivas sobre correção monetária de verbas funcionais; insuficiência ou padronização da instrução inicial.</t>
  </si>
  <si>
    <t>Estabeleceu orientação para triagem, saneamento inicial e racionalização de demandas sobre correção monetária de verbas funcionais.</t>
  </si>
  <si>
    <t>NT_CINUGEP_22</t>
  </si>
  <si>
    <t>CINUGEP/TJTO; 2026; Nota Técnica nº 22</t>
  </si>
  <si>
    <t>Competência jurisdicional para processamento e julgamento de demandas relacionadas à adultização infantil.</t>
  </si>
  <si>
    <t>Estudo técnico preliminar; sistematização normativa e critérios de definição de competência.</t>
  </si>
  <si>
    <t>Não é foco principal em litigância abusiva; uniformização de competência em fenômeno emergente.</t>
  </si>
  <si>
    <t>Estabeleceu critérios orientativos de competência para demandas relacionadas à adultização infantil.</t>
  </si>
  <si>
    <t>F_090</t>
  </si>
  <si>
    <t>Bases acadêmicas / BDTD / Revista do Serviço Público</t>
  </si>
  <si>
    <t>inteligência artificial; poder judiciário; produção acadêmica.</t>
  </si>
  <si>
    <t>Gisele Fernanda Loesch; Ivana Carneiro Almeida; Márcio Coutinho de Souza; João Cesar de Souza Fererira (2026) DOI: 10.21874/rsp.v77i1.11257</t>
  </si>
  <si>
    <t xml:space="preserve">INTELIGÊNCIA ARTIFICIAL (IA) NO PODER JUDICIÁRIO: PANORAMA DA PRODUÇÃO ACADÊMICA BRASILEIRA (2019-2024). </t>
  </si>
  <si>
    <t xml:space="preserve">Poder Judiciário Brasileiro (STF, STJ, TJBA, TJPE, TRT4) e Conselhos de Justiça. </t>
  </si>
  <si>
    <t>Redes neurais artificiais, algoritmos de aprendizado de máquina (machine learning), processamento de linguagem natural (NLP), aprendizado profundo (deep learning), análise preditiva e ferramentas automatizadas de triagem (ex: Sinapses).</t>
  </si>
  <si>
    <t>Litigiosidade em massa, excesso de demandas repetitivas, gargalos burocráticos operacionais crônicos e congestionamento em execuções</t>
  </si>
  <si>
    <t>Ganhos significativos de produtividade e agilidade na triagem, classificação e elaboração de minutas de decisões (ex: Sócrates 2.0 aumentou produtividade em 30% e Victor reduziu análise de 44 min para 5s).</t>
  </si>
  <si>
    <t>Riscos éticos associados a vieses de programação históricos e à falta de explicabilidade de algoritmos ("caixas-pretas"), além do risco de "engessamento" da jurisprudência e da restrição amostral à base da BDTD.</t>
  </si>
  <si>
    <t>F_051</t>
  </si>
  <si>
    <t>web of science/Revista do Curso de Direito do UNIFOR</t>
  </si>
  <si>
    <t>F_091</t>
  </si>
  <si>
    <t>Bases acadêmicas / Escola do Poder Judiciário do Acre - Revista Jurídica</t>
  </si>
  <si>
    <t>Alvarenga; Torres; 2024; 10.24862/rcdu.v15i2.2101</t>
  </si>
  <si>
    <t>Inteligência Artificial; Machine Learning; Poder Judiciário; Publicidade; Igualdade.</t>
  </si>
  <si>
    <t>Danniel Gustavo Bomfim Araújo da Silva (2022)</t>
  </si>
  <si>
    <t>The Implementation of New Technologies in Brazilian Justice</t>
  </si>
  <si>
    <t>JUSTIÇA 4.0: NOVAS TECNOLOGIAS, ANTIGAS DESIGUALDADES</t>
  </si>
  <si>
    <t>Justiça brasileira; processo penal</t>
  </si>
  <si>
    <t>Poder Judiciário (Justiça Estadual, Federal, Trabalho, Eleitoral), Tribunais Superiores (STF, STJ) e TJAC.</t>
  </si>
  <si>
    <t>IA aplicada à aceleração processual</t>
  </si>
  <si>
    <t>Algoritmos de Machine Learning, Processamento de Linguagem Natural (NLP), sistemas preditivos de comportamento, curadoria de datasets e plataformas integradas (Sinapses, Codex, PDPJ, PJe, e-SAJ).</t>
  </si>
  <si>
    <t>Discute IA como ferramenta de eficiência no processo penal</t>
  </si>
  <si>
    <t>Estudo bibliográfico; não apresenta arquitetura nem análise de dados</t>
  </si>
  <si>
    <t>Excessiva litigiosidade, alta taxa de acúmulo de processos pendentes, opacidade algorítmica, enviesamento de datasets e emulação de preconceitos/desvios próprios do comportamento humano.</t>
  </si>
  <si>
    <t>Efeito positivo na celeridade e diminuição de despesas administrativas; substituição de tarefas rotineiras, controle dinâmico de prazos judiciais e facilitação de audiências remotas por videoconferência.</t>
  </si>
  <si>
    <t>Desigualdade social crônica refletida na exclusão digital do país (classes C, D, E dependentes exclusivamente de celular), exigindo políticas públicas macroeconômicas de inclusão digital e respeito à atividade de julgar como essencialmente humana.</t>
  </si>
  <si>
    <t>F_092</t>
  </si>
  <si>
    <t>Bases acadêmicas / VIII ENPEJUD - Encontro de Pesquisas Judiciárias</t>
  </si>
  <si>
    <t>inteligência artificial; litigância predatória; systema judicial; eficiência.</t>
  </si>
  <si>
    <t>José Mateus da Silva Tenório; Kauã Vasques de Oliveira Santos (2024)</t>
  </si>
  <si>
    <t>A INTELIGÊNCIA ARTIFICIAL COMO FERRAMENTA DE IDENTIFICAÇÃO DA LITIGÂNCIA PREDATÓRIA</t>
  </si>
  <si>
    <t>Sistema Judicial Brasileiro (STF, STJ, TRF3, TRF4, TJAP, TJBA, TJAL, TJAC, TJRJ, TJDFT, TJAM, TJGO, TJRR, TJCE, TJPE, TJMS, TJMT,
Maranhão).</t>
  </si>
  <si>
    <t>Algoritmos de aprendizado de máquina integrados ao processo eletrônico,Processamento de Linguagem Natural (NLP) focado na análise minuciosa de petições iniciais, etiquetamento em larga escala e reuso automatizado de documentos.</t>
  </si>
  <si>
    <t>Litigância predatória / abusiva (ajuizamento em massa de ações repetitivas com causa de pedir genérica/hipotética, petições padronizadas, assinaturas montadas/coladas em procurações, dispensa indiscriminada de conciliação, reuso fraudulento de documentos).</t>
  </si>
  <si>
    <t>Sucesso prático de ferramentas especializadas: o sistema Arandu (TJAM) detecta similaridade textual, Berna unifica demandas repetitivas idênticas com 90% de precisão gerando pendências automatizadas em cartórios, e Bastião (TJPE) emite alertas comportamentais automáticos.</t>
  </si>
  <si>
    <t>Falta de consenso e pacificação doutrinária plena sobre o conceito e características da litigância predatória; necessidade de cooperação contínua e integrada externa (OAB, Judiciário e MP).</t>
  </si>
  <si>
    <t>F_093</t>
  </si>
  <si>
    <t>Bases acadêmicas / Revista EJEF</t>
  </si>
  <si>
    <t>inteligência artificial; Poder Judiciário; governança digital; processo judicial; regulação das práticas processuais por meio eletrônico; processo civil; automação judicial; segurança jurídica; transformação digital; machine
learning; legal tech.</t>
  </si>
  <si>
    <t>Alexandre Atheniense; Humberto Torres Marques-Neto (2024)</t>
  </si>
  <si>
    <t>GOVERNANÇA DA INTELIGÊNCIA ARTIFICIAL NO PODER JUDICIÁRIO BRASILEIRO: DESAFIOS REGULATÓRIOS E RISCOS DA FRAGMENTAÇÃO NORMATIVA NA ERA DIGITAL</t>
  </si>
  <si>
    <t>Poder Judiciário Brasileiro, CNJ e Tribunais locais (Esferas cível, criminal e de família).</t>
  </si>
  <si>
    <t>IA Generativa, engenharia de Prompts Especializados/Inteligentes, aprendizado de máquina (machine learning), automação judicial de rotinas e análise processual automatizada.</t>
  </si>
  <si>
    <t>Conflitos e disparidades geradas por multiplicidade de atos processuais locais, automatização descuidada de decisões/prazos que invadem a reserva legal e geram opacidade defensiva.</t>
  </si>
  <si>
    <t>Otimização da análise processual inicial (mapear pedidos, contestação, pontos incontroversos), sugestão de fundamentações, consistência decisória e mitigação de omissões antes da publicação, reduzindo embargos declaratórios.</t>
  </si>
  <si>
    <t>Risco iminente à segurança jurídica e ao devido processo legal devido à fragmentação regulatória e falta de governança centralizada; propõe regulação específica, Comitê Nacional de Governança e programa nacional de certificação técnica de sistemas.</t>
  </si>
  <si>
    <t>F_094</t>
  </si>
  <si>
    <t>Bases acadêmicas / ENAJUS - Encontro de Administração da Justiça</t>
  </si>
  <si>
    <t>Acesso à Justiça; Inteligência Artificial; Governança; Valor Público.</t>
  </si>
  <si>
    <t>João Paulo Braga Cavalcante; Flávio José Moreira Gonçalves; Flavianne Damasceno Maia; Nara Rejane Gonçalves de Araújo (2023)</t>
  </si>
  <si>
    <t xml:space="preserve">Governança e Valor Público: os Desafios à Inteligência Artificial nos Tribunais Brasileiros. </t>
  </si>
  <si>
    <t>Tribunais de Justiça Brasileiros (Esferas ível,Criminal/júri/Maria da Penha, previdenciária e fiscal; ex: INSS, CEF).</t>
  </si>
  <si>
    <t>Técnicas de Processamento de Linguagem Natural (NLP), aprendizado profundo (deep learning), algoritmos de aprendizado de máquina, robôs de atendimento preliminar (bots) e automação de documentos/juntadas judiciais.</t>
  </si>
  <si>
    <t>Demandismo exacerbado, excessiva judicialização da saúde/setores públicos, conflitos de massa estruturados em altos acervos repetitivos, e o risco de desumanização produtivista ("fordismo jurídico").</t>
  </si>
  <si>
    <t>Mapeamento de um crescimento explosivo de 171% nas iniciativas de IA nos tribunais (2021-2022); automação pesada de procedimentos operacionais internos (identificação de documentos, extração de conteúdos e pesquisa jurisprudencial).</t>
  </si>
  <si>
    <t>O desenvolvimento isolado gera silos e "ilhas estanques não padronizadas"; quase inexistência de IA em métodos consensuais/ODR (apenas 3 de 111 projetos); risco de segregação cibernética judicial e elitismo se focar apenas nos aspectos técnicos internos sem gerar Valor Público real ao cidadão.</t>
  </si>
  <si>
    <t>F_052</t>
  </si>
  <si>
    <t>web of science/Language Resources and Evaluation</t>
  </si>
  <si>
    <t>F_095</t>
  </si>
  <si>
    <t>Erjavec et al.; 2023; 10.1007/s10579-021-09574-0</t>
  </si>
  <si>
    <t>Portal Migalhas</t>
  </si>
  <si>
    <t>Litigância predatória; Sustentabilidade do Judiciário; Jurimetria; Abuso de direito de ação.</t>
  </si>
  <si>
    <t>The ParlaMint corpora of parliamentary proceedings</t>
  </si>
  <si>
    <t>Tereza Cristina Oliveira Ribeiro (2026)</t>
  </si>
  <si>
    <t>Parlamentos europeus</t>
  </si>
  <si>
    <t>Litigância predatória e os limites da sustentabilidade do Judiciário</t>
  </si>
  <si>
    <t>Poder Judiciário Brasileiro (Justiça do Trabalho, STJ, STF, CNJ).</t>
  </si>
  <si>
    <t>Corpus linguístico anotado e metadados parlamentares</t>
  </si>
  <si>
    <t>Dados estruturados integrados de abrangência nacional e análises jurimetrias avançadas baseadas na plataforma DataJud.</t>
  </si>
  <si>
    <t>Litigância abusiva/predatória no polo ativo ou passivo (ajuizamento reiterado, artificial ou desprovido de lastro fático, fragmentação artificial de de
demandas, petições genéricas, teses repetitivas rejeitadas, irregularidades
em procurações).</t>
  </si>
  <si>
    <t>Apresenta corpus parlamentar multilíngue para análise textual</t>
  </si>
  <si>
    <t>Diagnóstico nacional do CNJ (dez/2025) mapeando mais de 129 mil processos com menção explícita ao tema e proposição de medidas estruturais equilibradas (Cadastro Nacional de Decisões e fortalecimento de Centros de Inteligência)</t>
  </si>
  <si>
    <t>O debate do Tema 1.198 do STJ fixou que a exigência de documentos adicionais deve ser excepcional e fundamentada, vedando extinções automáticas; o  nfrentamento exige o fino equilíbrio de coibir abusos sem restringir o direito de ação ou criminalizar a advocacia legítima.</t>
  </si>
  <si>
    <t>Fora do escopo do Poder Judiciário e da litigiosidade</t>
  </si>
  <si>
    <t>F_096</t>
  </si>
  <si>
    <t>Scoups/Revista de Direito Econômico e Socioambiental</t>
  </si>
  <si>
    <t>S. Gonçalves de Carvalho; D. Mascarenhas de Queiroz Trevisan; D. Nadler Prata. 2026. DOI: 10.7213/rev.dir.econ.soc.v17i2.33848</t>
  </si>
  <si>
    <t>Algorithmic Governance in the Judiciary and its Application to Environmental Proceedings: Empirical Evidence from the CNJ and Proposition of the Operational Protocol for Algorithmic Environmental Evidence (Governança Algorítmica no Poder Judiciário e sua Aplicação aos Processos Ambientais: Evidências Empíricas do CNJ e Proposição do Protocolo Operacional de Prova Algorítmica Ambiental)</t>
  </si>
  <si>
    <t>Poder Judiciário brasileiro, com foco na persecução penal ambiental. O estudo analisa atos normativos e relatórios institucionais do Conselho Nacional de Justiça (CNJ).</t>
  </si>
  <si>
    <t>Utiliza Inteligência Artificial Generativa no contexto da produção de prova algorítmica. Propõe um Protocolo Operacional de Prova Algorítmica Ambiental, fundamentado em princípios de governança algorítmica, rastreabilidade das inferências, cadeia de custódia digital e contraditório técnico. Não apresenta arquitetura computacional específica.</t>
  </si>
  <si>
    <t>Não trata de Litigância. Analisa riscos relacionados ao uso de evidências produzidas por IA em processos criminais ambientais e mecanismos de governança para sua utilização segura.</t>
  </si>
  <si>
    <t>Conclui que o marco normativo do CNJ ainda carece de mecanismos operacionais para assegurar rastreabilidade das inferências e efetivo contraditório técnico. Como contribuição, propõe um protocolo operacional para aproximar a regulamentação abstrata da aplicação prática da IA generativa em processos criminais ambientais.</t>
  </si>
  <si>
    <t>O próprio resumo afirma que o atual arcabouço regulatório carece de sistematização operacional capaz de garantir rastreabilidade e revisão técnica das inferências algorítmicas.. Não trata de identificação de padrões ou litigância abusiva</t>
  </si>
  <si>
    <t>F_210</t>
  </si>
  <si>
    <t>Charlotte S. Alexander; 2023; DOI 10.1017/9781009255301.010</t>
  </si>
  <si>
    <t>Litigation Outcome Prediction, Access to Justice, and Legal Endogeneity</t>
  </si>
  <si>
    <t>Sistema de justiça civil dos Estados Unidos; aplicações acadêmicas, comerciais, pro bono e low bono; exemplos incluem necessidades civis em diferentes estados</t>
  </si>
  <si>
    <t>Predição computacional de resultados com métodos estatísticos e de machine learning treinados em registros judiciais históricos; recursos do caso, partes, advogados, juiz e foro. Discute classificação/regressão e modelos de linguagem, sem implementar um modelo próprio</t>
  </si>
  <si>
    <t>Não trata diretamente de litigância abusiva. Identifica padrões históricos de êxito e risco de seleção adversa: casos novos, limítrofes ou de grupos historicamente desfavorecidos podem receber baixa pontuação e ser recusados</t>
  </si>
  <si>
    <t>Ferramentas preditivas podem reduzir incerteza e custo dos serviços jurídicos e ampliar atendimento. O potencial depende de mais dados, financiamento, melhorias metodológicas e uso institucional cuidadoso. Recomenda não decidir exclusivamente pelo resultado algorítmico e usar recursos públicos para suprir lacunas de representação</t>
  </si>
  <si>
    <t>Campo ainda imaturo; dados judiciais incompletos e enviesados, validação limitada, custos e opacidade. Riscos de endogeneidade, congelamento de padrões passados, discriminação, desincentivo a teses inovadoras, privacidade e dano à evolução do common law</t>
  </si>
  <si>
    <t>F_098</t>
  </si>
  <si>
    <t>Scopus – Revista de Direito</t>
  </si>
  <si>
    <t>G.L. Melo. 2024. DOI: 10.32361/2024160118484</t>
  </si>
  <si>
    <t>Artificial Intelligence and Adjudication: From China to Brazil (Inteligência Artificial e Prestação Jurisdicional: Da China ao Brasil)</t>
  </si>
  <si>
    <t>Sistema Judiciário da China e do Brasil, em estudo comparativo sobre adoção de Inteligência Artificial na atividade jurisdicional.</t>
  </si>
  <si>
    <t>Discussão comparativa sobre utilização da Inteligência Artificial na prestação jurisdicional. Não apresenta arquitetura computacional específica. Analisa a IA como ferramenta de apoio às funções jurisdicionais, ponderando ganhos de eficiência e riscos ao devido processo legal.</t>
  </si>
  <si>
    <t>Não trata de litigância. O foco está na adoção da IA para apoio à atividade jurisdicional.</t>
  </si>
  <si>
    <t>F_054</t>
  </si>
  <si>
    <t>Conclui que a evolução da "inteligentização" do Judiciário deve continuar, mas restringindo a IA às funções auxiliares da Justiça e preservando a independência, subjetividade do julgador e os valores constitucionais e políticos de cada país.</t>
  </si>
  <si>
    <t>web of science/JURIX 2025</t>
  </si>
  <si>
    <t>não apresenta arquitetura de IA, mineração de dados judiciais, identificação de padrões processuais ou litigância abusiva, restringindo-se à análise jurídico-comparativa</t>
  </si>
  <si>
    <t>I. Sabo; T. Dal Pont; A. Rover; J. Hubner; 2025; DOI: 10.3233/FAIA251586</t>
  </si>
  <si>
    <t>Machine Learning to Promote Self-Composition in Conflict Resolution: The Brazilian Concil-IA Project — Aprendizado de Máquina para promover autocomposição na resolução de conflitos: Projeto brasileiro Concil-IA</t>
  </si>
  <si>
    <t>uizado Especial Cível da Universidade Federal de Santa Catarina — JEC-UFSC; disputas de transporte aéreo e dano moral</t>
  </si>
  <si>
    <t>Aprendizado de Máquina com pipeline de pré-processamento, representação, rotulagem, treinamento e teste com algoritmos de regressão para prever valores de condenação</t>
  </si>
  <si>
    <t>F_213</t>
  </si>
  <si>
    <t>Não trata de litigância. Analisa padrões decisórios em disputas consumeristas de transporte aéreo</t>
  </si>
  <si>
    <t>Scielo</t>
  </si>
  <si>
    <t>O modelo previu valores de julgamento com desempenho satisfatório, apoiando audiências de conciliação e reduzindo incertezas processuais</t>
  </si>
  <si>
    <t>Lucas Fucci Amato; 2020; DOI 10.1590/2317-6172201966</t>
  </si>
  <si>
    <t>Crônica sociológica de um direito precário: corrupção, constituição e instituições</t>
  </si>
  <si>
    <t>m relação ao MSL, não trata de litigância abusiva, mas contribui para gestão consensual de conflitos</t>
  </si>
  <si>
    <t>Brasil; Poder Judiciário, Ministério Público, Supremo Tribunal Federal e relações entre os Poderes; resenha da obra ‘Corrupção, justiça e moralidade pública’, de José Eduardo Faria</t>
  </si>
  <si>
    <t>Não utiliza IA. Resenha crítica e interpretação sociológico-jurídica de obra acadêmica; não apresenta arquitetura computacional ou análise automatizada</t>
  </si>
  <si>
    <t>Não trata de litigância abusiva. Identifica padrões institucionais próximos: instrumentalismo judicial, expansão de argumentos pragmáticos e consequencialistas, possíveis abusos de autoridade, judicialização da política e tensão entre combate à corrupção, garantias processuais e imparcialidade</t>
  </si>
  <si>
    <t>A resenha destaca a transição de uma racionalidade jurídica formal para abordagens pragmáticas, a inovação organizacional no combate à corrupção e os riscos de confusão entre acusação e julgamento, dependência da legitimação midiática e arbitragem judicial de conflitos políticos. Aponta necessidade de equilíbrio entre eficácia, legalidade, garantias e responsabilidade institucional</t>
  </si>
  <si>
    <t>Trata-se de resenha, não de pesquisa empírica original. Os resultados correspondem à síntese e à avaliação crítica da obra resenhada. Não analisa perfil de litigante, litigância predatória ou modelo de gestão baseado em dados; pertinência indireta para a revisão sobre litigiosidade abusiva</t>
  </si>
  <si>
    <t>F_055</t>
  </si>
  <si>
    <t>F_100</t>
  </si>
  <si>
    <t>Scopus – Revista Digital de Biblioteconomia e Ciência da Informação</t>
  </si>
  <si>
    <t>L.N. Moreira; P.N. Silva. 2025. DOI: 10.20396/rdbci.v24i00.8681945</t>
  </si>
  <si>
    <t>Institutional Repositories in Transformation: Methodological Contributions to Innovation and New Frontiers (Repositórios Institucionais em Transformação: Aportes Metodológicos para Inovação e Novas Fronteiras)</t>
  </si>
  <si>
    <t>Não analisa tribunal específico. Estuda repositórios institucionais em diferentes contextos organizacionais.</t>
  </si>
  <si>
    <t>E. C. B. Pacheco; G. M. Pinto; 2025; DOI: 10.1145/3769126.3769259</t>
  </si>
  <si>
    <t>Revisão de literatura sobre repositórios institucionais, interoperabilidade, gestão da informação e organização do conhecimento. O estudo menciona a popularização da Inteligência Artificial como oportunidade de inovação, mas não utiliza IA nem apresenta arquitetura computacional.</t>
  </si>
  <si>
    <t>Não trata de litigância. Analisa organização, preservação e disseminação de informações digitais.</t>
  </si>
  <si>
    <t>MAIA: AI System for Repetitive Demand Resolution in Brazil — MAIA: Sistema de IA para Resolução de Demandas Repetitivas no Brasil</t>
  </si>
  <si>
    <t>Identifica que os modelos atuais de repositórios institucionais estão defasados diante das recentes inovações tecnológicas. Aponta potencial de aplicação em novos contextos organizacionais e destaca a importância da interoperabilidade e da sistematização das informações.</t>
  </si>
  <si>
    <t>Poder Judiciário brasileiro; IRDR previsto no CPC/2015</t>
  </si>
  <si>
    <t>não trata de Poder Judiciário, Inteligência Judicial, mineração de dados judiciais ou litigância abusiva.</t>
  </si>
  <si>
    <t>Aprendizado não supervisionado para detectar grupos de casos semanticamente semelhantes, com fluxo human-in-the-loop em cinco etapas</t>
  </si>
  <si>
    <t>Litigiosidade repetitiva; identificação de casos aptos à proposição de IRDR</t>
  </si>
  <si>
    <t>Auxilia na identificação, refinamento e propositura de IRDRs, aumentando a chance de aceitação e apoiando a uniformização decisória</t>
  </si>
  <si>
    <t>Em relação ao MSL, possui aderência direta à litigiosidade repetitiva, mas  não informa análise de litigância abusiva</t>
  </si>
  <si>
    <t>F_215</t>
  </si>
  <si>
    <t>Wesley Maraire; 2024; DOI 10.1590/2317-6172202433</t>
  </si>
  <si>
    <t>Systemic Barriers and Unfairness: Access to Justice in Zimbabwe and Beyond</t>
  </si>
  <si>
    <t>Zimbábue; sistema formal de justiça, tribunais de direito geral e mecanismos não estatais; inferências comparativas para ex-colônias com sistemas jurídicos e culturais plurais</t>
  </si>
  <si>
    <t>Não utiliza IA. Abordagem multifacetada: revisão de literatura, jurisprudência, legislação, notícias, experiência profissional e observações do autor; aplica um framework de risco inerente e inaceitável de injustiça</t>
  </si>
  <si>
    <t>Não trata de litigância abusiva. Identifica barreiras sistêmicas: monopólio de uma tradição jurídica formal, exclusão de normas culturais, positivismo, complexidade processual, custos, dependência de advogados e inadequação dos fóruns; tais fatores desestimulam inclusive pretensões legítimas</t>
  </si>
  <si>
    <t>Conclui que reformas isoladas não superam obstáculos incorporados ao desenho do sistema. Propõe reconhecer justiça substantiva, procedimental e cultural e integrar mecanismos plurais e acessíveis de solução de conflitos à jurisprudência estatal. Relata que cerca de 80% da população utiliza plataformas não estatais, evidenciando distância entre direito constitucional e experiência vivida</t>
  </si>
  <si>
    <t>Preprint de estudo qualitativo e teórico; não implementa tecnologia nem mede impacto gerencial. A seleção de casos, notícias e observações pessoais pode introduzir viés. A generalização para outras ex-colônias é analítica e requer estudos comparativos. O próprio texto recomenda pesquisas futuras sobre integração de fóruns plurais</t>
  </si>
  <si>
    <t>F_102</t>
  </si>
  <si>
    <t>Scopus – Revista Brasileira de Políticas Públicas</t>
  </si>
  <si>
    <t>M.M. Ribeiro; R.R. Nunes; W.F. Giozza; A. Veronese. 2025. DOI: 10.5102/rbpp.v15i2.8643</t>
  </si>
  <si>
    <t>Risk Factors Arising Due to the Application of the Fundamental Right for the Protection of Personal Data and the LGPD in State Intelligence Activity (Fatores de Risco Decorrentes da Aplicação do Direito Fundamental à Proteção de Dados Pessoais e da LGPD na Atividade de Inteligência de Estado)</t>
  </si>
  <si>
    <t>Supremo Tribunal Federal (STF), legislação, doutrina, direito comparado e atividade de Inteligência de Estado.</t>
  </si>
  <si>
    <t>Não utiliza IA. Estudo jurídico bibliográfico e documental sobre proteção de dados pessoais, LGPD e atividade de Inteligência de Estado.</t>
  </si>
  <si>
    <t>Identifica fatores de risco para a atividade de Inteligência de Estado decorrentes da incidência do direito fundamental à proteção de dados pessoais e propõe medidas de mitigação e sugestões para futuro projeto de lei.</t>
  </si>
  <si>
    <t>não trata de Poder Judiciário como objeto central, Inteligência Judicial, IA aplicada ao Judiciário, mineração de dados judiciais ou litigância abusiva.</t>
  </si>
  <si>
    <t>F_103</t>
  </si>
  <si>
    <t>Scopus – Revista de Sociologia e Política</t>
  </si>
  <si>
    <t>H. Medeiros; F. Costa. 2024. DOI: 10.1590/1678-98732432e017</t>
  </si>
  <si>
    <t>Six of One, Half a Dozen of the Other? Analyzing the Similarities in Innovation Policies Across Brazilian States (Seis por Meia Dúzia? Análise das Similaridades entre as Normas de Inovação dos Estados Brasileiros)</t>
  </si>
  <si>
    <t>Estados brasileiros, Distrito Federal e Governo Federal, com análise de leis e normas de inovação. Não analisa tribunal específico.</t>
  </si>
  <si>
    <t>Utiliza modelo bag of words com distância do cosseno para detectar automaticamente reutilização textual em leis e normas estaduais de inovação.</t>
  </si>
  <si>
    <t>Não trata de litigância. O padrão identificado é a similaridade e reutilização textual entre normas de inovação.</t>
  </si>
  <si>
    <t>Demonstra que políticas estaduais de inovação foram adotadas em duas fases, apresentam alto grau de similaridade e revelam reutilização textual significativa, com difusão horizontal e influência regional.</t>
  </si>
  <si>
    <t>embora use método computacional de análise textual, não trata de Judiciário, Inteligência Judicial, litigância abusiva ou gestão processual.</t>
  </si>
  <si>
    <t>F_227</t>
  </si>
  <si>
    <t>André Luiz Cavalcanti Silveira; 2023; DOI 10.56256/themis.v21i1.908</t>
  </si>
  <si>
    <t>Acesso à Justiça, Demandas Repetitivas e Centros de Inteligência</t>
  </si>
  <si>
    <t>Poder Judiciário brasileiro; CNJ; Justiça Federal e Centros de Inteligência; autor vinculado ao TRF da 5ª Região e ao Centro Local de Inteligência da Justiça Federal no Ceará</t>
  </si>
  <si>
    <t>Não implementa IA. Propõe monitoramento de demandas, intercâmbio de dados, informações estatísticas, gestão de precedentes e diálogo interinstitucional como instrumentos organizacionais dos Centros de Inteligência</t>
  </si>
  <si>
    <t>Demandas repetitivas, excesso de litigiosidade, efeito multiplicador de conflitos e atuação de litigantes habituais. Não equipara repetitividade a abuso nem apresenta taxonomia específica de litigância predatória</t>
  </si>
  <si>
    <t>Conclui que os Centros podem identificar origens, causas e consequências das demandas repetitivas, prevenir conflitos e promover correções administrativas ou privadas. Defende diálogo horizontal com litigantes e instituições, compartilhamento de informações e ajustes procedimentais para assegurar isonomia, segurança jurídica e acesso à ordem jurídica justa</t>
  </si>
  <si>
    <t>Revisão bibliográfica e documental, sem avaliação causal ou métricas de desempenho dos Centros. Reconhece que o excesso de litigiosidade é multicausal e exige estudos sobre cultura, advocacia, ensino jurídico, custas e análise econômica. Não apresenta solução tecnológica testada</t>
  </si>
  <si>
    <t>F_105</t>
  </si>
  <si>
    <t>Scopus – Revista de Administração Pública (RAP)</t>
  </si>
  <si>
    <t>L.G.C. Carrara; R.R. de Azevedo; J.A. Diniz; M.E.M.C. Andrade. 2025. DOI: 10.1590/0034-761220250107x</t>
  </si>
  <si>
    <t>The Impact of Digital Infrastructure Expenditure on Accounting Information in the Public Sector (O Impacto dos Gastos com Infraestrutura Digital na Qualidade e Transparência da Informação Contábil no Setor Público)</t>
  </si>
  <si>
    <t>Municípios do Estado de São Paulo, com recomendações a órgãos como Tesouro Nacional, Conselho Federal de Contabilidade e Tribunais de Contas.</t>
  </si>
  <si>
    <t>Não utiliza IA. Estudo quantitativo com modelos de regressão linear, aplicado a dados de 644 municípios entre 2019 e 2023.</t>
  </si>
  <si>
    <t>Identifica associação positiva entre maior investimento em infraestrutura digital e melhoria da qualidade e transparência da informação contábil, reforçando a importância do planejamento estratégico em TIC.</t>
  </si>
  <si>
    <t>não trata de Judiciário, Inteligência Judicial, IA aplicada à gestão processual ou litigância abusiva.</t>
  </si>
  <si>
    <t>F_106</t>
  </si>
  <si>
    <t>C.C.A. Santos; E.R.G. Filho; J.R. Medici. 2025. DOI: 10.9732/2025.V130.1148</t>
  </si>
  <si>
    <t>The Occurrence of Fake News and Tensions Regarding the Social Support of the Superior Electoral Court (TSE) and the Federal Supreme Court (STF) (A Ocorrência de Fake News e as Tensões ao Suporte Social do Tribunal Superior Eleitoral (TSE) e do Supremo Tribunal Federal (STF))</t>
  </si>
  <si>
    <t>Tribunal Superior Eleitoral (TSE) e Supremo Tribunal Federal (STF), no período de 2018 a 2022.</t>
  </si>
  <si>
    <t>Não utiliza IA. Estudo qualitativo com dados secundários de agências de checagem, sites dos tribunais e painéis de verificação, utilizando a Teoria do Enquadramento (Framing Theory).</t>
  </si>
  <si>
    <t>Não trata de litigância. Analisa desinformação e seus efeitos sobre legitimidade institucional.</t>
  </si>
  <si>
    <t>Demonstra que fake news influenciam o debate público eleitoral, moldam percepções sobre instituições judiciais e podem comprometer a legitimidade do TSE e do STF. Recomenda estratégias de comunicação para fortalecer a confiança pública.</t>
  </si>
  <si>
    <t>trata de tribunais e dados informacionais, mas não aborda IA, Inteligência Judicial, mineração de padrões processuais ou litigância abusiva.</t>
  </si>
  <si>
    <t>Segmento de Justiça</t>
  </si>
  <si>
    <t>UF</t>
  </si>
  <si>
    <t>Sigla</t>
  </si>
  <si>
    <t>Tipo de Documento</t>
  </si>
  <si>
    <t>Número do Documento</t>
  </si>
  <si>
    <t>Data de Publicação</t>
  </si>
  <si>
    <t>Ementa</t>
  </si>
  <si>
    <t>Download do Documento</t>
  </si>
  <si>
    <t>Federal</t>
  </si>
  <si>
    <t>F_108</t>
  </si>
  <si>
    <t>Scopus – Proceedings of the 34th Annual Conference of the European Association for Education in Electrical and Information Engineering (EAEEIE 2025)</t>
  </si>
  <si>
    <t>A. Araujo; R. Nascimento; D. Barone; H. Lindemann; E.M.P. Daniel. 2025. DOI: 10.1109/EAEEIE65428.2025.11136728</t>
  </si>
  <si>
    <t>PR</t>
  </si>
  <si>
    <t>Engineering and Refugees: The Impact of YouTube on the Training and Entrepreneurship of Refugee Engineers in Brazil (Engenharia e Refugiados: O Impacto do YouTube na Capacitação e no Empreendedorismo de Engenheiros Refugiados no Brasil)</t>
  </si>
  <si>
    <t>O estudo não analisa tribunal, órgão do sistema de justiça ou instituição judiciária. O contexto é a inserção profissional de engenheiros refugiados no Brasil.</t>
  </si>
  <si>
    <t>Emprega abordagem qualitativa baseada na análise de conteúdos publicados no YouTube, investigando como vídeos de engenharia e empreendedorismo contribuem para a capacitação técnica e o desenvolvimento de competências empreendedoras de engenheiros refugiados.</t>
  </si>
  <si>
    <t>O estudo conclui que o YouTube constitui ferramenta acessível para aprendizagem técnica e desenvolvimento de habilidades empreendedoras, favorecendo a autonomia, a empregabilidade e a integração de engenheiros refugiados ao mercado brasileiro.</t>
  </si>
  <si>
    <t>TRF4</t>
  </si>
  <si>
    <t>trata de educação e empreendedorismo, não envolvendo Poder Judiciário, governança digital judicial, Inteligência Artificial aplicada ao Direito, ciência de dados jurídicos ou litigância abusiva. Trata-se de um falso positivo da estratégia de busca.</t>
  </si>
  <si>
    <t>Nota Técnica</t>
  </si>
  <si>
    <t>F_109</t>
  </si>
  <si>
    <t>Scopus – Applied Ontology</t>
  </si>
  <si>
    <t>C. Mário de Oliveira Rodrigues; C. Bezerra; F. Freitas; I. Oliveira. 2020. DOI: 10.3233/AO-200223</t>
  </si>
  <si>
    <t>Handling Crimes of Omission by Reconciling a Criminal Core Ontology with UFO (Tratando Crimes Omissivos por meio da Integração entre uma Ontologia Criminal Central e a Ontologia Fundamental UFO)</t>
  </si>
  <si>
    <t>NOTA TÉCNICA CONJUNTA Nº 02/ 2024 – REINT/CLIPR/CLISC/CLIRS
 Propõe conceituação, identifica elementos de detecção e sugere medidas
 de prevenção e enfrentamento da litigância predatória.</t>
  </si>
  <si>
    <t>Sistema jurídico brasileiro, com possibilidade de adaptação para outros países que adotam o sistema Civil Law.</t>
  </si>
  <si>
    <t>Desenvolve uma ontologia jurídica baseada na ontologia fundamental UFO (Unified Foundational Ontology) e na teoria positivista de Hans Kelsen. Em linguagem simples, trata-se de uma estrutura organizada de conceitos jurídicos que permite aos sistemas computacionais compreenderem melhor institutos do direito penal e realizarem simulações jurídicas, como identificação de crimes e aplicação de sanções.</t>
  </si>
  <si>
    <t>Não aborda litigância. Modela conceitualmente crimes omissivos e relações jurídicas do direito penal.</t>
  </si>
  <si>
    <t>https://formularios-corregedoria.cnj.jus.br/index.php?gf-download=2024%2F04%2FSEI_7149331_Nota_Tecnica-31.pdf&amp;form-id=57&amp;field-id=9&amp;hash=8c746d77fa2e12d80a73e5fbe353b8e4dbb22f1d5f7b4d37137d7f99dc46c099</t>
  </si>
  <si>
    <t>Demonstra que ontologias fundamentadas aumentam a interoperabilidade entre sistemas jurídicos, melhoram a reutilização do conhecimento e permitem futuras aplicações computacionais, como simulação de processos, identificação automática de crimes e imposição de penalidades.</t>
  </si>
  <si>
    <t>a ontologia foi construída especificamente para o direito brasileiro, embora possa ser adaptada a outros países de tradição romano-germânica. não trata de Inteligência Judicial, litigância abusiva, mineração de processos ou análise de padrões processuais.</t>
  </si>
  <si>
    <t>F_110</t>
  </si>
  <si>
    <t>Scopus – AMCIS 2023</t>
  </si>
  <si>
    <t>C.M.C. Rocha; J.Á. Carvalho; A.H.G. Suxberger. 2023.    https://www.scopus.com/pages/publications/85192937287?origin=resultslist</t>
  </si>
  <si>
    <t>Impact of Court's Case Management Systems: Perspectives on Efficiency (Impacto dos Sistemas de Gestão Processual dos Tribunais: Perspectivas sobre Eficiência)</t>
  </si>
  <si>
    <t>F_061</t>
  </si>
  <si>
    <t>Tribunais brasileiros, utilizando 10 anos de dados dos Court Case Management Systems (CCMS). O estudo informa que 97,2% dos processos brasileiros já tramitavam em formato digital.</t>
  </si>
  <si>
    <t>web of science/ Revista do Curso de Direito do UNIFOR</t>
  </si>
  <si>
    <t>Analisa os Court Case Management Systems (CCMS) — sistemas eletrônicos de gestão processual. Não utiliza Inteligência Artificial. Avalia empiricamente indicadores de desempenho como Clearance Rate, duração dos processos e backlog processual para verificar o impacto da informatização na eficiência dos tribunais.</t>
  </si>
  <si>
    <t>Não trata de litigância. Analisa padrões de desempenho e eficiência administrativa dos tribunais.</t>
  </si>
  <si>
    <t>Propõe um modelo empírico para verificar se os investimentos em tecnologia da informação efetivamente aumentaram a eficiência judicial. O estudo contribui para a avaliação de políticas públicas de informatização e gestão processual baseada em indicadores objetivos.</t>
  </si>
  <si>
    <t>o resumo destaca a escassez de estudos empíricos sobre os efeitos da tecnologia da informação no Judiciário. não utiliza IA, não identifica padrões de litigância abusiva nem comportamento de litigantes.</t>
  </si>
  <si>
    <t>A.R. de Alvarenga; H.A.A. Torres. 2024. DOI: 10.24862/rcdu.v15i2.2101</t>
  </si>
  <si>
    <t>The Implementation of New Technologies in Brazilian Justice: Fundamental Rights of the Accused and Acceleration of the Criminal Process (A Implementação de Novas Tecnologias na Justiça Brasileira: Direitos Fundamentais do Acusado e Aceleração do Processo Penal)</t>
  </si>
  <si>
    <t>Poder Judiciário Brasileiro, especificamente o Processo Penal.</t>
  </si>
  <si>
    <t>Discussão sobre Inteligência Artificial aplicada ao processo penal para acelerar a tramitação processual, preservando a supervisão humana e os direitos fundamentais. Não apresenta arquitetura computacional.</t>
  </si>
  <si>
    <t>Não trata de litigância. Analisa os impactos da IA sobre o processo penal e as garantias constitucionais.</t>
  </si>
  <si>
    <t>Conclui que a IA pode contribuir para maior eficiência do processo penal, desde que sua utilização preserve os direitos fundamentais e permaneça sob supervisão humana.</t>
  </si>
  <si>
    <t>F_112</t>
  </si>
  <si>
    <t>Scopus – Artificial Intelligence and Law</t>
  </si>
  <si>
    <t>T. Araújo; D. Carmo; R. Lima; A. Oliveira. 2025. DOI: 10.1007/s10506-025-09481-7</t>
  </si>
  <si>
    <t>Trace Clustering for Judicial Process Simplification: Identifying Patterns and Enhancing Analysis (Agrupamento de Trilhas para Simplificação de Processos Judiciais: Identificação de Padrões e Aprimoramento da Análise)</t>
  </si>
  <si>
    <t>Três unidades dos Juizados Especiais brasileiros.</t>
  </si>
  <si>
    <t>Técnica de trace clustering aplicada a dados judiciais reais. Integra pré-processamento, codificação de dados e algoritmos de agrupamento para segmentar processos em grupos mais homogêneos e revelar padrões comportamentais dos fluxos processuais.</t>
  </si>
  <si>
    <t>Não trata de litigância. Identifica padrões de tramitação, variabilidade, complexidade e possíveis ineficiências em fluxos judiciais.</t>
  </si>
  <si>
    <t>Os agrupamentos corresponderam a diferentes tipos de procedimentos judiciais e permitiram simplificar a análise dos fluxos. A validação por especialistas jurídicos confirmou a utilidade do método para expor ineficiências e apoiar decisões orientadas por dados.</t>
  </si>
  <si>
    <t>O resumo informa que o tema recebeu atenção limitada em pesquisas anteriores. Em relação ao MSL, não aborda litigância abusiva, mas tem alta aderência à identificação de padrões processuais e à gestão judicial baseada em dados.</t>
  </si>
  <si>
    <t>F_113</t>
  </si>
  <si>
    <t>Scopus – Revista Eletrônica de Direito Processual</t>
  </si>
  <si>
    <t>strategic litigation/ países Brasil ou EUA/ ano 2020-2026/Acesso Aberto</t>
  </si>
  <si>
    <t>M.V. Franco; G.C. Leroy. 2025. DOI: 10.12957/redp.2025.91581</t>
  </si>
  <si>
    <t>Procedural Good Faith and Abuse of the Right of Action: Procedural Harassment Defined by the Superior Court of Justice and Other Foreign Modalities of Procedural Wrongdoings (Boa-fé Processual e Abuso do Direito de Ação: O Assédio Processual Definido pelo Superior Tribunal de Justiça e Outras Modalidades Estrangeiras de Ilícito Processual)</t>
  </si>
  <si>
    <t>Superior Tribunal de Justiça (STJ) e análise comparativa de institutos previstos em ordenamentos jurídicos estrangeiros. O estudo examina a construção jurisprudencial do assédio processual pelo STJ e compara mecanismos de repressão a condutas processuais abusivas em outros países.</t>
  </si>
  <si>
    <t>Não utiliza Inteligência Artificial nem arquitetura computacional. Trata-se de pesquisa jurídico-doutrinária sobre boa-fé processual. Analisa normas do Código de Processo Civil brasileiro e institutos estrangeiros destinados à repressão do abuso do direito de ação.</t>
  </si>
  <si>
    <t>Abuso do direito de ação; assédio processual (procedural harassment); sham litigation; frivolous litigation; vexatious litigation; fracionamento abusivo de demandas (splitting of causes of action); flood or bury in documents; Strategic Lawsuits Against Public Participation (SLAPP); guerrilla tactics na arbitragem internacional. O estudo identifica essas modalidades como mecanismos de violação da boa-fé processual e do exercício legítimo do direito de ação.</t>
  </si>
  <si>
    <t>Conclui que o ordenamento jurídico brasileiro deve continuar evoluindo na identificação e repressão das diversas formas de abuso processual, estruturando mecanismos capazes de assegurar a boa-fé processual e impedir o exercício abusivo do direito de ação. O estudo demonstra que a experiência estrangeira oferece modelos que podem contribuir para o aperfeiçoamento do sistema brasileiro de combate às condutas processuais abusivas.</t>
  </si>
  <si>
    <t>embora trate diretamente de litigância abusiva e represente importante referencial conceitual, o estudo não utiliza Inteligência Artificial, ciência de dados, mineração de processos, analytics ou Inteligência Judicial, tampouco propõe arquitetura tecnológica para identificação automática dessas condutas. Sua contribuição é eminentemente dogmática e comparada.</t>
  </si>
  <si>
    <t>-</t>
  </si>
  <si>
    <t>NOTA TÉCNICA CONJUNTA Nº 02/ 2024 – REINT/CLIPR/CLISC/CLIRS</t>
  </si>
  <si>
    <t>Propõe conceituação, identifica elementos de detecção e sugere medidas
 de prevenção e enfrentamento da litigância predatória.</t>
  </si>
  <si>
    <t>https://formularios-corregedoria.cnj.jus.br/index.php?gf-download=2024%2F04%2FSEI_7149331_Nota_Tecnica-3.pdf&amp;form-id=57&amp;field-id=9&amp;hash=727a963a43d42b19bf3a5a2c3e6c407554ae69df4306819be400088d8d4bd935</t>
  </si>
  <si>
    <t>F_218</t>
  </si>
  <si>
    <t>web of science/ Yale Law Journal</t>
  </si>
  <si>
    <t>L.D. Simon. 2022.WOS:000763574800002/ISSN 0044-0094</t>
  </si>
  <si>
    <t>Bankruptcy Grifters (Aproveitadores da Recuperação Judicial/Falimentar)</t>
  </si>
  <si>
    <t>Cortes de falência dos Estados Unidos. O estudo analisa casos envolvendo empresas submetidas a processos falimentares decorrentes de litigância de massa, como Purdue Pharma e USA Gymnastics.</t>
  </si>
  <si>
    <t>Não utiliza Inteligência Artificial nem arquitetura computacional. Trata-se de pesquisa jurídico-doutrinária sobre direito falimentar.</t>
  </si>
  <si>
    <t>Identifica o uso oportunista do sistema falimentar por empresas solventes que obtêm benefícios processuais da recuperação judicial sem suportar seus respectivos ônus ("bankruptcy grifters"). O padrão identificado consiste em abuso do processo falimentar em litígios de massa.</t>
  </si>
  <si>
    <t>Demonstra que a ampliação gradual das proteções conferidas a terceiros não devedores alterou significativamente o alcance do regime falimentar. Propõe salvaguardas processuais e materiais para aumentar a transparência e reduzir comportamentos oportunistas.</t>
  </si>
  <si>
    <t>não emprega IA, mineração de dados, jurimetria ou Inteligência Judicial. A contribuição é eminentemente jurídica e normativa, embora trate diretamente de comportamento processual estratégico.</t>
  </si>
  <si>
    <t>F_064</t>
  </si>
  <si>
    <t>C. Toledo; D. Pessoa; 2023. DOI: 10.5380/rinc.v10i1.86319</t>
  </si>
  <si>
    <t>The Use of Artificial Intelligence in Judicial Decision Making (O Uso da Inteligência Artificial na Tomada de Decisão Judicial)</t>
  </si>
  <si>
    <t>Estadual</t>
  </si>
  <si>
    <t>SP</t>
  </si>
  <si>
    <t>Poder Judiciário brasileiro. O estudo analisa a utilização da IA na tomada de decisão judicial no contexto nacional.</t>
  </si>
  <si>
    <t>TJSP</t>
  </si>
  <si>
    <t>Portaria Conjunta 10500/2024</t>
  </si>
  <si>
    <t>Estudo bibliográfico, documental e empírico sobre sistemas de IA utilizados como apoio à decisão judicial, com foco na transparência, vieses algorítmicos e explicabilidade.</t>
  </si>
  <si>
    <t>Não trata de litigância. Analisa riscos decorrentes da utilização de IA na atividade jurisdicional</t>
  </si>
  <si>
    <t>Instalação do Núcleo 4.0 - Grandes Litigantes Pessoas Físicas</t>
  </si>
  <si>
    <t>Identifica problemas relacionados à opacidade dos algoritmos, vieses cognitivos e limitações da IA para realizar juízos valorativos, propondo medidas para utilização responsável dessas tecnologias pelo Judiciário.</t>
  </si>
  <si>
    <t>https://formularios-corregedoria.cnj.jus.br/index.php?gf-download=2025%2F02%2FTJSP-Criacao-do-Nucleo-4.0-Grandes-Litigantes-Pessoas-Fisicas.pdf&amp;form-id=57&amp;field-id=9&amp;hash=d9595968aacc4794230f317907905203950c29ac0551af31435ea7016ada2519</t>
  </si>
  <si>
    <t>não utiliza mineração de dados nem identifica padrões de litigiosidade, mas contribui para a governança da IA no Judiciário.</t>
  </si>
  <si>
    <t>F_115</t>
  </si>
  <si>
    <t>Web of Science – Texas Law Review</t>
  </si>
  <si>
    <t>M.A. Francus. 2024    WOS:001269091500002/ISSN0040-4411</t>
  </si>
  <si>
    <t>Designing Designer Bankruptcy (Projetando as Falências Estruturadas)</t>
  </si>
  <si>
    <t>Sistema de falências dos Estados Unidos. Analisa grandes litígios de massa envolvendo Purdue Pharma, Johnson &amp; Johnson, USA Gymnastics e PG&amp;E.</t>
  </si>
  <si>
    <t>Não utiliza Inteligência Artificial. O estudo desenvolve um modelo jurídico baseado em teoria organizacional para explicar o fenômeno das chamadas designer bankruptcies.</t>
  </si>
  <si>
    <t>F_065</t>
  </si>
  <si>
    <t>Identifica o padrão denominado Designer Bankruptcy, caracterizado pela reorganização societária utilizada para selecionar quais ativos e passivos ingressarão na falência, permitindo administrar estrategicamente litígios de massa e reduzindo a exposição patrimonial das empresas.</t>
  </si>
  <si>
    <t>web of science/ German Law Journal</t>
  </si>
  <si>
    <t>Demonstra a evolução desse modelo desde o Manville Model até o Texas Two-Step, propondo recomendações legislativas e judiciais destinadas a preservar os benefícios econômicos da reorganização empresarial sem comprometer os direitos das vítimas dos litígios de massa.</t>
  </si>
  <si>
    <t>embora trate de estratégia processual e uso estrutural do sistema judicial, não utiliza Inteligência Artificial, ciência de dados ou modelos de detecção automática de litigância abusiva.</t>
  </si>
  <si>
    <t>C. K. Winter; 2020. DOI: 10.1017/glj.2020.3</t>
  </si>
  <si>
    <t>The Value of Behavioral Economics for EU Judicial Decision-Making (O Valor da Economia Comportamental para a Tomada de Decisão Judicial na União Europeia)</t>
  </si>
  <si>
    <t>Tribunal de Justiça da União Europeia (TJUE) e processo decisório judicial europeu. O resumo menciona expressamente o Direito da União Europeia e o papel do Advogado-Geral e do Juiz Relator.</t>
  </si>
  <si>
    <t>Não utiliza IA como método principal. Aplica conceitos da Economia Comportamental para analisar vieses cognitivos que influenciam a tomada de decisão judicial, discutindo também o potencial futuro da IA para aumentar consistência e segurança jurídica.</t>
  </si>
  <si>
    <t>Não trata de litigância. Analisa vieses cognitivos que podem afetar decisões judiciais.</t>
  </si>
  <si>
    <t>Demonstra que conhecimentos da Economia Comportamental podem aperfeiçoar a formação dos magistrados e contribuir para decisões mais consistentes, indicando que a IA poderá futuramente favorecer maior justiça e segurança jurídica.</t>
  </si>
  <si>
    <t>F_116</t>
  </si>
  <si>
    <t>Web of Science – University of Chicago Law Review</t>
  </si>
  <si>
    <t>A.J. Casey; J.C. Macey. 2023./WOS:000991678300004/ISSN 0041-9494</t>
  </si>
  <si>
    <t>In Defense of Chapter 11 for Mass Torts (Em Defesa do Capítulo 11 para Litígios de Massa)</t>
  </si>
  <si>
    <t>Sistema de falências dos Estados Unidos. O estudo analisa a utilização do Chapter 11 como mecanismo de resolução de litígios de responsabilidade civil em massa (mass torts).</t>
  </si>
  <si>
    <t>Não utiliza Inteligência Artificial. Trata-se de ensaio jurídico sobre o emprego do processo falimentar para solucionar problemas de ação coletiva em litígios de massa.</t>
  </si>
  <si>
    <t>Não trata de litigância abusiva propriamente dita. Analisa problemas de ação coletiva, holdout, corrida ao Judiciário (race to the courthouse) e potenciais abusos decorrentes do próprio procedimento falimentar, como assimetria informacional e excesso de poder negocial dos administradores.</t>
  </si>
  <si>
    <t>Conclui que o procedimento falimentar constitui mecanismo adequado para resolução de litígios de massa desde que sejam implementadas salvaguardas capazes de impedir abusos e preservar os direitos das vítimas. Propõe reformas internas no sistema falimentar para reduzir comportamentos oportunistas sem inviabilizar a reorganização empresarial.</t>
  </si>
  <si>
    <t>Não trata de litigância abusiva, não utiliza IA, mineração de dados ou Inteligência Judicial. A contribuição é jurídica e institucional, relacionada ao desenho procedimental do sistema falimentar</t>
  </si>
  <si>
    <t>Relatório de atividades 2016</t>
  </si>
  <si>
    <t>Relatório de Atividades do Numopede CGJ TJSP - ano de 2016</t>
  </si>
  <si>
    <t>https://formularios-corregedoria.cnj.jus.br/index.php?gf-download=2023%2F10%2FRelatorio-Numopede-2016.pdf&amp;form-id=57&amp;field-id=9&amp;hash=c4620f0f97c77ffc4c5d33ea221fcffd08fb0b5daf3a82cc0389cf68b99d44d4</t>
  </si>
  <si>
    <t>F_118</t>
  </si>
  <si>
    <t>Web of Science – ICON: International Journal of Constitutional Law</t>
  </si>
  <si>
    <t>K. Starr. 2020. DOI: 10.1093/icon/moaa064</t>
  </si>
  <si>
    <t>To Have and to Hold: Emotional Distress, Divorce Denial, and the Politics of Interspousal Torts (Até que a Morte os Separe: Sofrimento Emocional, Negativa do Divórcio e a Política dos Ilícitos Civis entre Cônjuges)</t>
  </si>
  <si>
    <t>Sistema jurídico norte-americano. O estudo analisa ações indenizatórias envolvendo a recusa do divórcio religioso (get refusal) e sua relação com o instituto da Intentional Infliction of Emotional Distress (IIED).</t>
  </si>
  <si>
    <t>Não utiliza Inteligência Artificial. Consiste em análise jurídico-constitucional e histórico-doutrinária sobre responsabilidade civil e violência doméstica.</t>
  </si>
  <si>
    <t>Não trata de litigância abusiva. Examina abuso doméstico manifestado pela recusa do divórcio religioso, discutindo sua eventual reparação por meio do instituto da Inflição Intencional de Sofrimento Emocional (IIED).</t>
  </si>
  <si>
    <t>MA</t>
  </si>
  <si>
    <t>TJMA</t>
  </si>
  <si>
    <t>Conclui que a recusa do divórcio religioso pode preencher os requisitos da responsabilidade civil por sofrimento emocional, mas identifica resistência histórica dos tribunais em admitir ações indenizatórias entre cônjuges. Defende a superação da doutrina da privacidade matrimonial para ampliar a proteção às vítimas.</t>
  </si>
  <si>
    <t>não trata de litigância abusiva, Inteligência Judicial, IA ou análise de padrões processuais. O foco recai sobre responsabilidade civil e violência doméstica.</t>
  </si>
  <si>
    <t>Nota técnica relativa à necessidade de análise criteriosa quanto aos pedidos de gratuidade da justiça, com a consequente avaliação do caso concreto, para proferir decisão ajustada a cada situação e litigante, especialmente para conceder descontos e parcelamento das custas e despesas processuais antecipadas no curso do processo.</t>
  </si>
  <si>
    <t>https://formularios-corregedoria.cnj.jus.br/index.php?gf-download=2025%2F06%2FNOTA-TECNICA-No-1-2025-Modulacao-da-Gratuidade-da-Justica.pdf&amp;form-id=57&amp;field-id=9&amp;hash=572778af03a348f844f948996f2d19d20a211b3c3edea844f6d77222feb7768e</t>
  </si>
  <si>
    <t>F_120</t>
  </si>
  <si>
    <t>Web of Science (WOS) – Vestnik of Saint Petersburg University – Law</t>
  </si>
  <si>
    <t>"Nuisance Value"</t>
  </si>
  <si>
    <t>D.V. Kniazev. 2021. DOI: 10.21638/spbu14.2021.313.</t>
  </si>
  <si>
    <t>Payment for Legal Services in the USA Civil Procedure: Contingent Fee, American Rule and Their Impact on the Judicial Caseload (Remuneração de Serviços Jurídicos no Processo Civil dos Estados Unidos: Honorários de Êxito, Regra Americana e seus Impactos sobre a Carga de Trabalho do Judiciário)</t>
  </si>
  <si>
    <t>Sistema de Justiça dos Estados Unidos, com análise do processo civil norte-americano, especialmente do instituto do contingent fee (honorários de êxito) e da American Rule (cada parte suporta seus próprios honorários advocatícios). O estudo não analisa tribunal específico</t>
  </si>
  <si>
    <t>Não utiliza Inteligência Artificial, mineração de dados ou arquitetura computacional. O estudo consiste em análise jurídico-doutrinária acerca dos incentivos processuais existentes no sistema norte-americano.</t>
  </si>
  <si>
    <t>Não trata de litigância. aborda diretamente a existência de frivolous lawsuits (ações frívolas) e nuisance lawsuits (ações propostas apenas para obtenção de acordo econômico), sustentando que a combinação entre o contingent fee e a American Rule cria incentivos para o ajuizamento de demandas desprovidas de fundamento jurídico relevante, utilizadas para pressionar o réu à celebração de acordo</t>
  </si>
  <si>
    <t>O autor conclui que não existe consenso sobre o impacto dos honorários de êxito e da American Rule no crescimento do número de ações judiciais. De um lado, tais mecanismos ampliam o acesso à justiça ao permitir que pessoas sem recursos ingressem em juízo; de outro, diversos elementos indicam que sua combinação favorece o aumento de ações manifestamente infundadas, frívolas e de nuisance value, ajuizadas não para obtenção de decisão favorável, mas para induzir o réu a aceitar acordos indenizatórios.</t>
  </si>
  <si>
    <t>não utiliza Inteligência Artificial, jurimetria ou Inteligência Judicial, limitando-se à análise normativa dos incentivos econômicos do processo civil norte-americano.</t>
  </si>
  <si>
    <t>Relatório de atividades - biênio 2020-2021</t>
  </si>
  <si>
    <t>F_068</t>
  </si>
  <si>
    <t>Relatório de atividades - Numopede CGJ TJSP - biênio 2020/2021</t>
  </si>
  <si>
    <t>web of science/Revista Brasileira de Direito Processual Penal</t>
  </si>
  <si>
    <t>https://formularios-corregedoria.cnj.jus.br/index.php?gf-download=2023%2F10%2FRelatorio-Numopede-2020-2021.pdf&amp;form-id=57&amp;field-id=9&amp;hash=4f5b70d1dabadd2e338e44eafb70410c90498dc3c7e2c2639704be58f1ae82af</t>
  </si>
  <si>
    <t>M.E.A. Amaral; A.T. Bruni. 2023. DOI: 10.22197/rbdpp.v9i2.819</t>
  </si>
  <si>
    <t>Forensic Evidence in Criminal Procedure: the Comprehension and Mitigation of Forensic Errors as a Mechanism to Promote the Adversarial Principle, the Full Defense and the Right to Legal Evidence (Prova Pericial no Processo Penal: A Compreensão e Mitigação dos Erros Forenses como Mecanismo de Promoção do Contraditório, da Ampla Defesa e do Direito à Prova Lícita)</t>
  </si>
  <si>
    <t>Processo Penal brasileiro, com análise da produção e avaliação da prova pericial e referência à jurisprudência.</t>
  </si>
  <si>
    <t>F_121</t>
  </si>
  <si>
    <t>Web of Science — Artificial Intelligence and Law</t>
  </si>
  <si>
    <t>Não utiliza IA. O estudo analisa métodos científicos empregados na perícia criminal e discute mecanismos para reduzir erros forenses e aumentar a confiabilidade das provas.</t>
  </si>
  <si>
    <t xml:space="preserve">"abuse of process" and " intelligence artificial"/ anos 2020-2026/ países: England or Spanich ou Canada ou Brazil or Germany or France or Italy or Portugal </t>
  </si>
  <si>
    <t>F. Di Porto.2023/DOI:10.1007/s10506-021-09302-7</t>
  </si>
  <si>
    <t>Algorithmic Disclosure Rules(Regras Algorítmicas de Divulgação )</t>
  </si>
  <si>
    <t>O artigo analisa a elaboração e implementação de regras de divulgação, utilizando exemplos de contratos on-line e privacidade digital.</t>
  </si>
  <si>
    <t>Aprendizado de Máquina (Machine Learning), Processamento de Linguagem Natural (NLP) e experimentação comportamental por meio de Regulatory Sandboxes. Propõe arquitetura multinível para elaboração e implementação de regras de divulgação.</t>
  </si>
  <si>
    <t>Não trata de litigância. Analisa erros periciais que podem comprometer a qualidade da prestação jurisdicional.</t>
  </si>
  <si>
    <t>Não trata de litigância abusiva. O termo abused refere-se ao abuso das regras de divulgação pelos formuladores de normas (rule-makers), e não ao abuso do processo judicial.</t>
  </si>
  <si>
    <t>Propõe abordagem integrada utilizando IA para aperfeiçoar regras de divulgação desde sua elaboração até sua implementação, conciliando aspectos linguísticos e comportamentais e discutindo legitimidade, eficácia e proporcionalidade das decisões algorítmicas.</t>
  </si>
  <si>
    <t>Conclui que o conhecimento sobre erros forenses é essencial para aumentar a qualidade da prova pericial, reduzir arbitrariedades e minimizar erros judiciais, fortalecendo o contraditório e a ampla defesa.</t>
  </si>
  <si>
    <t>Estudo teórico-propositivo. Não apresenta validação empírica, mineração de processos judiciais, identificação de litigância abusiva ou arquitetura voltada à Inteligência Judicial.</t>
  </si>
  <si>
    <t>F_122</t>
  </si>
  <si>
    <t>Web of Science / Proceedings of the 2025 Symposium on Computer Science and Law (CS&amp;LAW 2025)</t>
  </si>
  <si>
    <t>M. Xiao; A. Sellars; S. Scheffler (2025). DOI: 10.1145/3709025.3712206</t>
  </si>
  <si>
    <t>When Anti-Fraud Laws Become a Barrier to Computer Science Research (Quando as Leis Antifraude se Tornam um Obstáculo à Pesquisa em Ciência da Computação)</t>
  </si>
  <si>
    <t>Estados Unidos. Analisa o ambiente jurídico relacionado ao CFAA, DMCA e demais leis antifraude aplicáveis à pesquisa em ciência da computação.</t>
  </si>
  <si>
    <t>Não apresenta arquitetura computacional específica. Analisa pesquisas envolvendo auditoria de sistemas de IA, ataques a IA, web scraping, testes de penetração, engenharia social, estudos com usuários e sistemas sociotécnicos.</t>
  </si>
  <si>
    <t>Não trata de litigância abusiva. Analisa problemas jurídicos decorrentes da aplicação de leis antifraude à pesquisa em ciência da computação e Inteligência Artificial.</t>
  </si>
  <si>
    <t>Desenvolve taxonomia dos problemas jurídicos relacionados à fraude e identidade em pesquisas computacionais e propõe orientações éticas e jurídicas para pesquisadores e formuladores de políticas públicas.</t>
  </si>
  <si>
    <t>Estudo jurídico-teórico. Não apresenta mineração de dados judiciais, Inteligência Judicial, detecção de litigância abusiva ou análise de padrões processuais.</t>
  </si>
  <si>
    <t>NOTA TÉCNICA CONJUNTA Nº 01/ 2020 – CLIPR/CLISC/CLIRS
 Possibilidade de ser dispensada a prova oral para comprovação de atividade rural, em juízo, após modificação introduzida pela MP 871/2019, convertida na Lei nº 13.846/2019, nos artigos 38-A, 38-B e 106 da Lei nº 8.213/91.</t>
  </si>
  <si>
    <t>https://formularios-corregedoria.cnj.jus.br/index.php?gf-download=2026%2F04%2FNTC-01-2020.pdf&amp;form-id=57&amp;field-id=9&amp;hash=c919dcab43e0eb4531c95812c893a09589fc95f0ce89154035864f3bc133de1b</t>
  </si>
  <si>
    <t>F_124</t>
  </si>
  <si>
    <t>Web of Science – TalTech Journal of European Studies</t>
  </si>
  <si>
    <t xml:space="preserve">Strategic Lawsuits" AND "Digital Governance" area: law </t>
  </si>
  <si>
    <t>I. Burduli; N. Chitashvili. 2024. DOI: 10.2478/bjes-2024-0001</t>
  </si>
  <si>
    <t>MG</t>
  </si>
  <si>
    <t>TRF6</t>
  </si>
  <si>
    <t>Corporate Legal Dogmatics on the Revocation of Share Donation Due to Breach of the Duty of Loyalty (Dogmática Jurídico-Societária sobre a Revogação da Doação de Participações Societárias em Razão da Violação do Dever de Lealdade)</t>
  </si>
  <si>
    <t>O estudo examina a prática judicial da Geórgia, fundamentando-se principalmente na inter-relação entre o direito societário e o direito civil alemão para o desenvolvimento de uma jurisprudência uniforme sobre a revogação da doação de participações societárias.</t>
  </si>
  <si>
    <t>Não utiliza Inteligência Artificial nem descreve arquitetura computacional.</t>
  </si>
  <si>
    <t>O artigo trata da violação do dever de lealdade societária e da revogação da doação de quotas, não abordando litigância abusiva, SLAPP ou abuso do processo.</t>
  </si>
  <si>
    <t>Defende que a ausência de uma dogmática jurídico-societária uniforme pode comprometer a governança corporativa e o desenvolvimento empresarial. Propõe uma construção dogmática destinada à uniformização da jurisprudência georgiana sobre a matéria.</t>
  </si>
  <si>
    <t>Estudo jurídico-dogmático, sem aplicação de IA, governança digital, jurimetria ou análise de processos judiciais. Não apresenta limitações metodológicas expressas no resumo.</t>
  </si>
  <si>
    <t>Uniformização da Jurisprudência do Tribunal Regional Federal da 6a Região. Conflitos de Competência entre Vara Federal e Juizado Especial Federal para definição da competência para processamento e julgamento de ações que envolvam a produção de prova complexa. Definição do Conceito de “prova complexa”. Necessidade de Pacificação e consolidação do Tema. Gestão de Precedentes e Segurança Jurídica. Racionalização do fluxo de trabalho em Primeira Instância e desoneração da Segunda Instância, pelo menor número de Conflitos de Competência interpostos. Relevância do Tema – competência – destacada pela Nota Técnica n. 01/2022.</t>
  </si>
  <si>
    <t>https://formularios-corregedoria.cnj.jus.br/index.php?gf-download=2024%2F11%2FNota_Tecnica-01-2024.pdf&amp;form-id=57&amp;field-id=9&amp;hash=0e7331f7c74b676ba700a402a93d12150c7942da22f826eeac5d9e3af8ac22c3</t>
  </si>
  <si>
    <t>F_126</t>
  </si>
  <si>
    <t>Web of Science – Revista Jurídica Portucalense</t>
  </si>
  <si>
    <t>"repetitive demand" and "intelligence"/Anos 2020-2026/ País Brasil</t>
  </si>
  <si>
    <t>F.W.D. Dantas; G.F. Braz. 2022. DOI: 10.34625/issn.2183-2705(ne2v2)2022.ic-04</t>
  </si>
  <si>
    <t>Artificial Intelligence in Brazilian Judicial Branch (Inteligência Artificial no Poder Judiciário Brasileiro)</t>
  </si>
  <si>
    <t>Poder Judiciário Brasileiro. Analisa a utilização da Inteligência Artificial pelos tribunais brasileiros e a regulamentação editada pelo Conselho Nacional de Justiça (CNJ).</t>
  </si>
  <si>
    <t>Inteligência Artificial aplicada como ferramenta de gestão para racionalizar o tratamento das demandas repetitivas. O resumo não informa arquitetura computacional específica.</t>
  </si>
  <si>
    <t>O artigo aborda demandas repetitivas, sem identificar litigância abusiva, litigância predatória ou abuso do processo.</t>
  </si>
  <si>
    <t>RJ</t>
  </si>
  <si>
    <t>TJRJ</t>
  </si>
  <si>
    <t>Conclui que não existem obstáculos ao emprego da IA no apoio à tomada de decisões judiciais, especialmente na racionalização das demandas repetitivas, em que não há reexame de fatos e o contraditório é mitigado em razão da segurança jurídica e da isonomia, em consonância com o modelo cooperativo do Código de Processo Civil de 2015.</t>
  </si>
  <si>
    <t>Estudo jurídico-normativo sobre transformação digital do Judiciário brasileiro. O resumo não apresenta limitações metodológicas nem descreve algoritmos específicos de IA</t>
  </si>
  <si>
    <t>COMPILAÇÃO DE NOTAS TÉCNICAS SOBRE DEMANDA PREDATÓRIA</t>
  </si>
  <si>
    <t>https://formularios-corregedoria.cnj.jus.br/index.php?gf-download=2023%2F10%2FNota-Tecnica-n.-03.2023-TJRJ.pdf&amp;form-id=57&amp;field-id=9&amp;hash=23439997640578dbabeb7ad6c3b8a35fdb727765e1a21baf99c832cfc8a00705</t>
  </si>
  <si>
    <t>F_127</t>
  </si>
  <si>
    <t>Web of Science – Revista de Investigações Constitucionais – Journal of Constitutional Research</t>
  </si>
  <si>
    <t>C.M. Bitencourt; L.H.N. Martins. 2023. DOI: 10.5380/rinc.v10i3.93650</t>
  </si>
  <si>
    <t>Artificial Intelligence in the Constitutional Accounting Control Bodies of Brazilian Public Administration (Inteligência Artificial nos Órgãos Constitucionais de Controle de Contas da Administração Pública Brasileira)</t>
  </si>
  <si>
    <t>Tribunais de Contas brasileiros (esferas federal, estadual e municipal).</t>
  </si>
  <si>
    <t>Inteligência Artificial utilizada pelos Tribunais de Contas para apoio às atividades de controle. O resumo não informa arquitetura computacional específica.</t>
  </si>
  <si>
    <t>não trata de litigância abusiva nem de demandas judiciais repetitivas no Poder Judiciário.</t>
  </si>
  <si>
    <t>Conclui que a IA promove mudanças significativas nos órgãos de controle, principalmente em atividades relacionadas a demandas repetitivas, permitindo evolução para funções mais preditivas e menos decisórias, embora ainda exista potencial de evolução para utilização em órgãos decisórios.</t>
  </si>
  <si>
    <t>Pesquisa bibliográfica, exploratória, quantitativa e qualitativa baseada em documentos governamentais. Não apresenta limitações metodológicas no resumo.</t>
  </si>
  <si>
    <t>F_128</t>
  </si>
  <si>
    <t>Web of Science – Intelligent Systems – BRACIS 2023</t>
  </si>
  <si>
    <t>N.A. Valentim; F.A. Dorça; V.P. Asnis; N.C. Elias. 2023. DOI: 10.1007/978-3-031-45368-7_20</t>
  </si>
  <si>
    <t>The Artificial Intelligence as a Technological Resource in the Application of Tasks for the Development of Joint Attention in Children with Autism (A Inteligência Artificial como Recurso Tecnológico na Aplicação de Tarefas para o Desenvolvimento da Atenção Compartilhada em Crianças com Autismo)</t>
  </si>
  <si>
    <t>Não informado pelo estudo. O estudo refere-se ao contexto educacional voltado a crianças com transtorno do espectro autista.</t>
  </si>
  <si>
    <t>Técnicas de Inteligência Artificial para modelar dinamicamente a sequência e o nível de complexidade dos exercícios, proporcionando ambiente inteligente adaptativo. O resumo não informa arquitetura específica.</t>
  </si>
  <si>
    <t>Não trata de litigância abusiva, demandas repetitivas judiciais ou gestão processual.</t>
  </si>
  <si>
    <t>Desenvolve abordagem computacional adaptativa destinada ao desenvolvimento da atenção compartilhada em crianças com autismo, personalizando o processo de aprendizagem.</t>
  </si>
  <si>
    <t>Estudo fora do contexto jurídico e da gestão judiciária. Não apresenta limitações metodológicas no resumo.</t>
  </si>
  <si>
    <t>F_130</t>
  </si>
  <si>
    <t>Scopus / Revista Opinião Jurídica (Opinion Juridica)</t>
  </si>
  <si>
    <t>I.C. Sabo; A.J. Rover (2020). DOI: 10.12662/2447-6641oj.v18i28.p69-93.2020</t>
  </si>
  <si>
    <t>Compliance to Legal Precedents and Repetitive Legal Cases Management with Machine Learning (Observância de Precedentes e Gestão de Demandas Repetitivas por meio do Aprendizado de Máquina)</t>
  </si>
  <si>
    <t>Poder Judiciário Brasileiro. Estuda a Reclamação e o Incidente de Resolução de Demandas Repetitivas (IRDR) previstos no CPC/2015.</t>
  </si>
  <si>
    <t>Aprendizado de Máquina (Machine Learning) aplicado à identificação automática da Reclamação e do IRDR, associado aos conceitos de E-Judiciário e E-Jurisdição. Não especifica algoritmo.</t>
  </si>
  <si>
    <t>Não trata de litigância abusiva. Analisa demandas repetitivas e o sistema de precedentes obrigatórios</t>
  </si>
  <si>
    <t>Demonstra que aplicações de Machine Learning podem auxiliar a identificação de precedentes obrigatórios, aperfeiçoar a gestão das demandas repetitivas e contribuir para um modelo de jurisdição civil inteligente.</t>
  </si>
  <si>
    <t>Estudo baseado em dois casos concretos. Não informa limitações metodológicas nem aspectos éticos específicos relacionados à IA.</t>
  </si>
  <si>
    <t>Trabalho</t>
  </si>
  <si>
    <t>DF</t>
  </si>
  <si>
    <t>TRT10</t>
  </si>
  <si>
    <t>F_131</t>
  </si>
  <si>
    <t>006/2024</t>
  </si>
  <si>
    <t>H.D.B. de Pinho; M.G. Dutra (2025). DOI: 10.12957/redp.2025.89763</t>
  </si>
  <si>
    <t>Investment Decision, Legal Security and Mandatory Precedents System in Brazilian Civil Procedure (Decisão de Investimento, Segurança Jurídica e Sistema de Precedentes Obrigatórios no Processo Civil Brasileiro)</t>
  </si>
  <si>
    <t>Processo Civil Brasileiro. Sistema de precedentes obrigatórios instituído pelo CPC/2015.</t>
  </si>
  <si>
    <t>Nota Técnica nº 006/2024 - TRT10/CITRT10 de adesão à Nota Técnica CI.TRT8 nº 4/2023 - “Regulamentar e promover práticas e protocolos para o combate à litigância predatória, preferencialmente com a criação de meios eletrônicos para o monitoramento de processos, bem como transmitir as respectivas informações à Corregedoria Nacional, com vistas à alimentação de um painel único, que deverá ser criado com essa finalidade”.</t>
  </si>
  <si>
    <t>Não apresenta arquitetura de Inteligência Artificial. Analisa o sistema de precedentes obrigatórios sob perspectiva institucional e econômica.</t>
  </si>
  <si>
    <t>Não trata de litigância abusiva nem de demandas repetitivas sob enfoque tecnológico.</t>
  </si>
  <si>
    <t>https://formularios-corregedoria.cnj.jus.br/index.php?gf-download=2024%2F10%2FNota_Tecnica_CI_n_006.pdf&amp;form-id=57&amp;field-id=9&amp;hash=71055c8ec22fff6ef6a394f3ba64d483ba21616af685a67c7d023c0d4bdb0acc</t>
  </si>
  <si>
    <t>Conclui que a utilização efetiva do sistema de precedentes fortalece a segurança jurídica, aumenta a eficiência institucional e melhora o ambiente para investimentos.</t>
  </si>
  <si>
    <t>Estudo multidisciplinar fundamentado na Nova Economia Institucional. Não apresenta validação empírica nem aplicações de IA.</t>
  </si>
  <si>
    <t>F_132</t>
  </si>
  <si>
    <t>A.C. Salles; M.S. Cruz (2022). DOI: 10.22395/ojum.v21n46a6</t>
  </si>
  <si>
    <t>Jurisdiction and Artificial Intelligence: Reflections and Some Applications in Brazilian Courts (Jurisdição e Inteligência Artificial: Reflexões e Algumas Aplicações nos Tribunais Brasileiros)</t>
  </si>
  <si>
    <t>Poder Judiciário Brasileiro, com análise de aplicações de Inteligência Artificial em tribunais nacionais.</t>
  </si>
  <si>
    <t>O estudo apresenta aplicações de Inteligência Artificial utilizadas pelo Judiciário brasileiro, discutindo automação, sistemas de apoio à decisão e processamento de informações jurídicas. O resumo não especifica arquitetura computacional ou algoritmos.</t>
  </si>
  <si>
    <t>Não trata de litigância abusiva. Analisa a utilização da IA como instrumento de apoio à atividade jurisdicional e à eficiência da prestação jurisdicional.</t>
  </si>
  <si>
    <t>Conclui que a Inteligência Artificial possui potencial para ampliar a eficiência, racionalizar procedimentos e apoiar a tomada de decisões judiciais, ressaltando, entretanto, a necessidade de preservação da autonomia do magistrado e das garantias processuais.</t>
  </si>
  <si>
    <t>Estudo predominantemente teórico. O resumo não apresenta validação empírica nem desenvolvimento de modelo computacional específico. Não aborda identificação de litigantes habituais ou demandas abusivas.</t>
  </si>
  <si>
    <t>F_074</t>
  </si>
  <si>
    <t>V.C.L.L. Valle; J.R.F.I. Gaso; A.M. Ajus. 2023. DOI: 10.5380/rinc.v10i2.92598</t>
  </si>
  <si>
    <t>GO</t>
  </si>
  <si>
    <t>TJGO</t>
  </si>
  <si>
    <t>Judicial Decision-Making Assisted by Artificial Intelligence and the Victor System of the Brazilian Federal Supreme Court (Tomada de Decisão Judicial Assistida por Inteligência Artificial e o Sistema Victor do Supremo Tribunal Federal Brasileiro)</t>
  </si>
  <si>
    <t>Orientações sobre os requisitos básicos a serem observados pelos magistrados e magistradas no encaminhamento de notícias da prática de suposta atividade predatória por advogados para apuração e eventuais providências pelo Centro de Inteligência do Poder Judiciário de Goiás. Institui também o fluxo padrão de avaliação pelo Centro de Inteligência.</t>
  </si>
  <si>
    <t>Supremo Tribunal Federal (STF), com análise do Projeto Victor, desenvolvido em colaboração com a Universidade de Brasília.</t>
  </si>
  <si>
    <t>https://formularios-corregedoria.cnj.jus.br/index.php?gf-download=2025%2F05%2FNotaTecnica_11_2025.pdf&amp;form-id=57&amp;field-id=9&amp;hash=eb699d6dbaec56b12955aa188eaac02ccd9341a3da00b767367fcf32baf11010</t>
  </si>
  <si>
    <t>F_135</t>
  </si>
  <si>
    <t>Scopus / Zenodo (2024)</t>
  </si>
  <si>
    <t>Inteligência Artificial e métodos de Machine Learning aplicados à categorização automática de recursos extraordinários com base nos temas de Repercussão Geral.</t>
  </si>
  <si>
    <t>L. Câmara; G. Guimarães (2024). DOI: 10.5281/zenodo.13926000</t>
  </si>
  <si>
    <t>Innovation and the Use of Artificial Intelligence in the Brazilian Judiciary (Inovação e o Uso da Inteligência Artificial no Poder Judiciário Brasileiro)</t>
  </si>
  <si>
    <t>Poder Judiciário Brasileiro. Analisa iniciativas de inovação e utilização da Inteligência Artificial em órgãos do Judiciário nacional.</t>
  </si>
  <si>
    <t>Não trata de litigância. Analisa a categorização de recursos extraordinários e o uso da IA no apoio à decisão judicial.</t>
  </si>
  <si>
    <t>O estudo aborda aplicações de Inteligência Artificial voltadas ao apoio das atividades judiciais, automação de procedimentos e melhoria da gestão processual. O resumo não especifica algoritmos nem arquitetura tecnológica.</t>
  </si>
  <si>
    <t>Não trata de litigância abusiva. O foco está na transformação digital do Judiciário e na incorporação de soluções de IA para aumento da eficiência institucional.</t>
  </si>
  <si>
    <t>Conclui que a Inteligência Artificial constitui importante instrumento de inovação, permitindo maior eficiência administrativa, redução do tempo de processamento e aprimoramento da prestação jurisdicional.</t>
  </si>
  <si>
    <t>O estudo destaca a eficiência do Victor, mas aponta problemas como resumos decisórios inadequados. Defende transparência no uso da IA e registro da intervenção do sistema nos processos eletrônicos.</t>
  </si>
  <si>
    <t>Estudo descritivo sobre experiências de inovação no Judiciário brasileiro. Não apresenta experimentação computacional, mineração de dados nem identificação de padrões de litigância abusiva.</t>
  </si>
  <si>
    <t>O resumo destaca tensão entre eficiência e legalidade, bem como a necessidade de observância dos princípios constitucionais da legalidade, imparcialidade, moralidade, transparência e eficiência.</t>
  </si>
  <si>
    <t>F_136</t>
  </si>
  <si>
    <t>Scopus / Revista Opinião Jurídica (Opinion Juridica),</t>
  </si>
  <si>
    <t>Fernandes; Oliveira (2021). DOI: 10.12662/2447-6641oj.v19i30.p91-117.2021</t>
  </si>
  <si>
    <t>The Regulation of Disruptive Decisions in Brazilian Judicial Power: Reflections on the Artificial Judge (A Regulação das Decisões Disruptivas no Poder Judiciário Brasileiro: Reflexões sobre o Juiz Artificial)</t>
  </si>
  <si>
    <t>Poder Judiciário Brasileiro. O estudo examina o uso da Inteligência Artificial na atividade jurisdicional e seus reflexos sobre a decisão judicial.</t>
  </si>
  <si>
    <t>O estudo discute aplicações de Inteligência Artificial, aprendizado de máquina e sistemas de apoio à decisão judicial, abordando o conceito de "juiz artificial". Não apresenta arquitetura computacional específica nem algoritmo implementado.</t>
  </si>
  <si>
    <t>Não trata de litigância abusiva. Analisa os impactos da Inteligência Artificial sobre a atividade jurisdicional e a regulação das decisões automatizadas.</t>
  </si>
  <si>
    <t>Conclui que a utilização da IA no Judiciário deve ocorrer como ferramenta de apoio ao magistrado, preservando a independência judicial, a fundamentação das decisões e as garantias do devido processo legal.</t>
  </si>
  <si>
    <t>Estudo teórico e normativo. Não apresenta validação empírica nem mineração de dados. Não identifica padrões de litigância abusiva ou perfilamento de litigantes.</t>
  </si>
  <si>
    <t>F_075</t>
  </si>
  <si>
    <t>L. Brandizzi; G. Rodrigues. 2025. DOI: 10.3233/FAIA251573</t>
  </si>
  <si>
    <t>JuriDiscovery: Automated Analysis of Legal Dispute Triggered by Public Policies Using Artificial Intelligence — A Case Study Applied to the Individual Microentrepreneur (JuriDiscovery: Análise Automatizada de Disputas Jurídicas Desencadeadas por Políticas Públicas com Inteligência Artificial — Estudo de Caso Aplicado ao Microempreendedor Individual)</t>
  </si>
  <si>
    <t>Poder Judiciário brasileiro, com análise de ações judiciais envolvendo Microempreendedores Individuais (MEI) e políticas públicas.</t>
  </si>
  <si>
    <t>F_138</t>
  </si>
  <si>
    <t>de Quadros; Isaia (2026). DOI: 10.12957/redp.2026.93760</t>
  </si>
  <si>
    <t>Was Effectiveness Only a Promise? Reflections on the Brazilian System of Binding Precedents (A Efetividade Foi Apenas uma Promessa? Reflexões sobre o Sistema Brasileiro de Precedentes Vinculantes)</t>
  </si>
  <si>
    <t>Processo Civil Brasileiro. Analisa o sistema nacional de precedentes vinculantes instituído pelo Código de Processo Civil de 2015.</t>
  </si>
  <si>
    <t>Não informado pelo estudo. O resumo não menciona Inteligência Artificial nem arquitetura tecnológica.</t>
  </si>
  <si>
    <t>Pipeline que combina BERTopic, Grandes Modelos de Linguagem (LLMs), agrupamento semântico e engenharia de prompts para extrair e analisar processos judiciais envolvendo MEIs.</t>
  </si>
  <si>
    <t>Não trata de litigância abusiva. O estudo analisa criticamente a efetividade do sistema brasileiro de precedentes obrigatórios.</t>
  </si>
  <si>
    <t>Conclui que, embora o sistema de precedentes tenha sido concebido para promover segurança jurídica, isonomia e racionalização do julgamento de demandas repetitivas, sua efetividade prática ainda enfrenta limitações decorrentes da forma de aplicação pelos tribunais.</t>
  </si>
  <si>
    <t>Estudo dogmático e crítico sobre precedentes vinculantes. Não apresenta mineração de dados, experimentação empírica nem aplicação de Inteligência Artificial. Sua contribuição é indireta para a governança judicial.</t>
  </si>
  <si>
    <t>Não trata de litigância. Identifica padrões de disputas decorrentes de falhas na implementação de políticas públicas, como vínculo empregatício, benefícios previdenciários, justiça gratuita, isenções fiscais e fraude cadastral.</t>
  </si>
  <si>
    <t>SC</t>
  </si>
  <si>
    <t>TRT12</t>
  </si>
  <si>
    <t>A metodologia mostrou-se robusta, escalável e adaptável a outros contextos judiciais, contribuindo para pesquisa acadêmica, tomada de decisão na administração pública e prática jurídica.</t>
  </si>
  <si>
    <t>Em relação ao MSL, tem alta aderência à análise de padrões de litigiosidade e transformação de textos judiciais em conhecimento estruturado.</t>
  </si>
  <si>
    <t>Dispõe sobre práticas e protocolos para detecção, prevenção e combate à litigância predatória no âmbito do Tribunal Regional do Trabalho da 12a Região.</t>
  </si>
  <si>
    <t>https://formularios-corregedoria.cnj.jus.br/index.php?gf-download=2024%2F07%2FDOCUMENTO-Nota-Tecnica-CI-no-7-2024.pdf-0624847.pdf&amp;form-id=57&amp;field-id=9&amp;hash=fcd97ef5f55948b2eb6d4d7484980199470e0410724b2e5375db16875437df34</t>
  </si>
  <si>
    <t>F_140</t>
  </si>
  <si>
    <t>Scopus / Cadernos de Dereito Actual</t>
  </si>
  <si>
    <t>"litigância predatória"</t>
  </si>
  <si>
    <t>M.B.M. Clementino; L.J.B. Pinto (2024). DOI: 10.5281/zenodo.13822575</t>
  </si>
  <si>
    <t>Predatory Litigation: Between Access to Justice and Systematic Abuses of the Right to Due Process (Litigância Predatória: Entre o Acesso à Justiça e os Abusos Sistemáticos do Direito ao Processo)</t>
  </si>
  <si>
    <t>Sistema de Justiça brasileiro, sob enfoque institucional e processual.</t>
  </si>
  <si>
    <t>Não informado pelo estudo. Não utiliza Inteligência Artificial nem arquitetura computacional.</t>
  </si>
  <si>
    <t>Define os elementos caracterizadores da litigância predatória, distinguindo-a de outras modalidades de abuso processual. Propõe três etapas institucionais para seu enfrentamento: identificação, processualização e responsabilização.</t>
  </si>
  <si>
    <t>Demonstra que a litigância predatória possui natureza coletiva e sistêmica, recomendando mecanismos igualmente sistêmicos para seu enfrentamento, como a cooperação institucional entre os atores do sistema de justiça e modelos de coletivização integrativa dos procedimentos repetitivos e cooperativos.</t>
  </si>
  <si>
    <t>Estudo jurídico-teórico de caráter exploratório e problematizador. Não apresenta validação empírica nem utilização de IA. Constitui importante referencial conceitual para definição do fenômeno da litigância predatória. Exportação Scopus indica 0 citações</t>
  </si>
  <si>
    <t>F_076</t>
  </si>
  <si>
    <t>M.D. de Andrade; L.G. Girão. 2024. DOI: 10.12957/rqi.2024.77116</t>
  </si>
  <si>
    <t>Justice 4.0: The Use of Digital Judge in Less Complex Issues Administration (Justiça 4.0: O Uso do Juiz Digital na Administração de Questões de Menor Complexidade)</t>
  </si>
  <si>
    <t>Poder Judiciário do Ceará, no contexto do sistema judicial brasileiro e de demandas de baixa complexidade.</t>
  </si>
  <si>
    <t>Modelo teórico de juiz digital, entendido como IA capaz de elaborar despachos e decisões em questões jurídicas menos complexas. Não apresenta arquitetura computacional específica</t>
  </si>
  <si>
    <t>Não trata de litigância. Analisa a possibilidade de automação da atividade decisória em causas objetivas de baixa complexidade.</t>
  </si>
  <si>
    <t>Conclui que, em cenários objetivos e de baixa complexidade, a IA poderia exercer atividade adjudicatória, desde que observados mecanismos de controle e legitimação previstos no sistema jurídico brasileiro.</t>
  </si>
  <si>
    <t>Pesquisa qualitativa, exploratória, descritiva e bibliográfica. Em relação ao MSL, não apresenta mineração de dados nem identificação de padrões de litigiosidade, mas contribui para o debate sobre limites da automação judicial.</t>
  </si>
  <si>
    <t>F_144</t>
  </si>
  <si>
    <t>Google Scholar / Revista Eletrônica de Direito Processual (2025)</t>
  </si>
  <si>
    <t>"Litigância Abusiva" AND "Inteligência" AND "Governança"</t>
  </si>
  <si>
    <t>Ewerton Luiz Chaves Carminati (2025). DOI: 10.12957/redp.2025</t>
  </si>
  <si>
    <t>Uso de Inteligência Artificial para Detecção de Litigância Abusiva: Desafios Decorrentes do Risco de Enviesamento Discriminatório</t>
  </si>
  <si>
    <t>O estudo analisa o emprego de Inteligência Artificial baseada em aprendizado de máquina (Machine Learning) para identificação de padrões comportamentais em grandes bases processuais. Não propõe algoritmo específico, mas descreve sistemas capazes de detectar padrões repetitivos de litigância abusiva mediante processamento massivo de dados judiciais, submetidos à supervisão humana e à governança prevista na Resolução CNJ nº 615/2025.</t>
  </si>
  <si>
    <t>Conceitua a litigância abusiva como o exercício do direito de ação além de seus fins legítimos, adotando como referência a Recomendação CNJ nº 159/2024. Destaca como espécies: demandas sem lastro, temerárias, artificiais, procrastinatórias, frívolas, fraudulentas, desnecessariamente fracionadas, assédio processual, violação ao dever de mitigação de prejuízos e litigância predatória. Defende que a IA deve identificar padrões objetivos de comportamento, e não perfis pessoais dos litigantes</t>
  </si>
  <si>
    <t>Demonstra que a Inteligência Artificial possui elevado potencial para auxiliar a gestão judiciária mediante identificação de padrões de litigância abusiva impossíveis de serem detectados manualmente em grandes acervos processuais. Sustenta que seu uso é viável e desejável, desde que observadas governança algorítmica, supervisão humana, transparência, auditoria, proteção de dados, avaliação contínua de impacto algorítmico e mitigação de vieses discriminatórios. Propõe três dimensões de análise dos riscos: jurisdicional, funcional e administrativa, reforçando que a decisão permanece sob responsabilidade do magistrado.</t>
  </si>
  <si>
    <t>Estudo jurídico-doutrinário, com metodologia qualitativa, descritivo-analítica, fundamentado em pesquisa bibliográfica e documental. Não desenvolve ferramenta computacional nem valida modelo de IA. Baseia-se principalmente na Resolução CNJ nº 615/2025, na Recomendação CNJ nº 159/2024 e na literatura sobre Inteligência Artificial, governança algorítmica e litigância abusiva. Como principal limitação, reconhece que a definição dos limites da litigância abusiva ainda carece de maior consolidação dogmática e que modelos de IA jamais alcançarão acurácia absoluta, exigindo monitoramento permanente e possibilidade de descarte caso apresentem enviesamento discriminatório.</t>
  </si>
  <si>
    <t>F_145</t>
  </si>
  <si>
    <t>Google Scholar / Anais do IX ENPEJUD (2025)</t>
  </si>
  <si>
    <t>Laura Cavalcante Barbosa; Angélica Cristina Bezerra de Melo; Valkíria Malta Gaia Ferreira; Maria Izabel Ferreira dos Santos (2025).</t>
  </si>
  <si>
    <t>O Uso da Inteligência Artificial no Combate à Litigância Abusiva: Experiências do Tribunal de Justiça de Alagoas (TJAL)</t>
  </si>
  <si>
    <t>Tribunal de Justiça de Alagoas (TJAL). O estudo analisa a experiência institucional do TJAL no enfrentamento da litigância abusiva mediante utilização de ferramentas de Inteligência Artificial, especialmente em demandas repetitivas e predatórias.</t>
  </si>
  <si>
    <t>O artigo analisa a utilização dos robôs Hércules e Aslan, desenvolvidos pelo TJAL para automatização da triagem processual, identificação de padrões repetitivos, classificação automática de petições, reconhecimento de litigantes contumazes, agrupamento de demandas semelhantes e apoio à gestão de recursos repetitivos. Também referencia os sistemas Victor (STF), Athos (STJ) e Arandu (TJAM) como experiências correlatas de IA aplicada ao Judiciário brasileiro.</t>
  </si>
  <si>
    <t>Conceitua a litigância abusiva como gênero que engloba demandas repetitivas, artificiais, padronizadas, fraudulentas e estrategicamente utilizadas para obtenção de vantagens indevidas ou sobrecarga do Poder Judiciário. Destaca como padrões relevantes: petições padronizadas, documentos falsificados, litigantes habituais, recursos protelatórios, ajuizamento massivo, multiplicidade artificial de demandas, utilização reiterada dos mesmos endereços, captação ilícita de clientela e litigância predatória.</t>
  </si>
  <si>
    <t>Demonstra que a Inteligência Artificial constitui importante instrumento de governança judiciária, permitindo identificar padrões processuais em larga escala, acelerar a triagem de processos, reduzir tempo de análise, aumentar a uniformidade procedimental e subsidiar a atuação dos Centros de Inteligência. O estudo evidencia resultados concretos do TJAL: mais de 11.330 petições analisadas pelo robô Hércules até 2024 e índice de acurácia superior a 95% do sistema Aslan, além da identificação automatizada de litigantes contumazes e demandas repetitivas. Conclui que a IA fortalece a eficiência administrativa sem substituir a atividade jurisdicional humana.</t>
  </si>
  <si>
    <t>Pesquisa qualitativa baseada em revisão bibliográfica e documental. Não desenvolve novo algoritmo, mas analisa experiências institucionais existentes. Destaca como limitações e desafios: proteção de dados pessoais (LGPD), transparência algorítmica, supervisão humana obrigatória, prevenção de vieses automatizados, governança ética dos modelos de IA e capacitação permanente de magistrados e servidores. Defende que a IA deve atuar como ferramenta de apoio decisório e não substituir o magistrado.</t>
  </si>
  <si>
    <t>F_146</t>
  </si>
  <si>
    <t>Web of Science Core Collection / Electronic Government (EGOV 2020)</t>
  </si>
  <si>
    <t>Comunicado CG 931/2024</t>
  </si>
  <si>
    <t>G. Misuraca; G. Viscusi (2020). DOI: 10.1007/978-3-030-57599-1_9</t>
  </si>
  <si>
    <t>AI-Enabled Innovation in the Public Sector: A Framework for Digital Governance and Resilience ( Inovação Impulsionada por IA no Setor Público: Uma Estrutura para Governança Digital e Resiliência)</t>
  </si>
  <si>
    <t>Análise de comunicações recebidas indicando a prática da celebração de negócio jurídico de cessão de direitos creditórios futuros advindos de expectativa de êxito em ações judiciais envolvendo companhias aéreas.
 Emissão de orientações.</t>
  </si>
  <si>
    <t>Administração pública europeia; tribunal ou esfera judicial específica: Não informado pelo estudo.</t>
  </si>
  <si>
    <t>Framework conceitual que relaciona governança digital, inovação social, métodos de sistemas complexos e iniciativas nacionais de inteligência artificial. A IA é apresentada como tecnologia capaz de apoiar iniciativas de inovação e políticas públicas.</t>
  </si>
  <si>
    <t>Não informado pelo estudo.</t>
  </si>
  <si>
    <t>https://formularios-corregedoria.cnj.jus.br/index.php?gf-download=2025%2F02%2FTJSP-Comunicado-CG-931.2024.pdf&amp;form-id=57&amp;field-id=9&amp;hash=135ea2da10f5cd30194257f96c4f8b05a2e7708218ed553f89ccc79e8fbfa637</t>
  </si>
  <si>
    <t>Propõe um framework para conectar dimensões e fatores de geração de valor da governança digital e o aplica a casos europeus de inovação orientada por IA, com a finalidade de avaliar impactos sobre a inovação social.</t>
  </si>
  <si>
    <t>Limitações reconhecidas pelos autores: Não informado pelo estudo. Em relação ao MSL, não aborda Poder Judiciário, padrões de litigiosidade, litigância abusiva ou acesso responsável à justiça; sua contribuição é conceitual e indireta.</t>
  </si>
  <si>
    <t>F_147</t>
  </si>
  <si>
    <t>Web of Science Core Collection / IEEE Access</t>
  </si>
  <si>
    <t>V. Malik; R. Mittal; D. Mavaluru; B. R. Narapureddy; S. B. Goyal; R. J. Martin; K. Srinivasan; A. Mittal (2023). DOI: 10.1109/ACCESS.2023.3293529</t>
  </si>
  <si>
    <t>Building a Secure Platform for Digital Governance Interoperability and Data Exchange Using Blockchain and Deep Learning-Based Frameworks ( Construção de uma plataforma segura para interoperabilidade de governança digital e troca de dados utilizando blockchain e frameworks baseados em aprendizado profundo)</t>
  </si>
  <si>
    <t>Ambientes de cidades inteligentes e sistemas de governança digital; tribunal ou esfera judicial específica: Não informado pelo estudo.</t>
  </si>
  <si>
    <t>Blockchain para autenticação e registro confiável de dados; algoritmo de otimização Bonobo para ajustar o uso da blockchain; estrutura Feistel leve para proteção da privacidade; e aprendizado por reforço profundo, técnica em que o modelo aprende por recompensas, para detectar intrusões, fraude e corrupção.</t>
  </si>
  <si>
    <t>Intrusões, fraude e corrupção em dados de cidades inteligentes. Litigância abusiva ou padrão processual: Não informado pelo estudo.</t>
  </si>
  <si>
    <t>O framework apresentou desempenho superior a técnicas comparadas nos conjuntos BoT-IoT e ToN-IoT e foi demonstrado em dois estudos de caso, visando segurança, privacidade, confiabilidade, interoperabilidade e transparência no intercâmbio de dados públicos.</t>
  </si>
  <si>
    <t>Limitações reconhecidas pelos autores: Não informado pelo estudo. Em relação ao MSL, não se situa no sistema de justiça e não identifica padrões de litigiosidade ou comportamento de litigantes; a aderência restringe-se a técnicas de IA, segurança e governança de dados.</t>
  </si>
  <si>
    <t>F_148</t>
  </si>
  <si>
    <t>Web of Science Core Collection / Research Handbook on Judicial Politics</t>
  </si>
  <si>
    <t>G. A. C. Ramos; J. R. Figueroa (2024). DOI: 10.4337/9781035309320</t>
  </si>
  <si>
    <t>Comparative judicial governance ( Governança Judicial Comparada)</t>
  </si>
  <si>
    <t>Poder Judiciário, em perspectiva comparada. Países ou tribunais analisados: Não informado pelo estudo.</t>
  </si>
  <si>
    <t>Limitações reconhecidas pelos autores: Não informado pelo estudo. Em relação ao MSL, o registro disponibilizado não contém resumo, metodologia, resultados ou informação sobre IA, análise de dados e litigância abusiva, impossibilitando avaliação substantiva.</t>
  </si>
  <si>
    <t>F_149</t>
  </si>
  <si>
    <t>Web of Science Core Collection / Financial Internet Quarterly</t>
  </si>
  <si>
    <t>S. Pande; A. Chandani; S. Wagholikar (2025). DOI: 10.2478/fiqf-2025-0005</t>
  </si>
  <si>
    <t>Digital governance across whole-of-the-government: Opportunities and challenges ( Governança digital em toda a administração pública: oportunidades e desafios)</t>
  </si>
  <si>
    <t>Governo da Índia; tribunal ou esfera judicial específica: Não informado pelo estudo.</t>
  </si>
  <si>
    <t>Uso geral de tecnologias digitais para monitorar processos, melhorar eficiência e automatizar tarefas. Arquitetura ou técnica específica de IA: Não informado pelo estudo.</t>
  </si>
  <si>
    <t>Identifica oportunidades e desafios para implementação da governança digital, destacando divisão digital, tecnologia, liderança e alfabetização como obstáculos que precisam ser enfrentados.</t>
  </si>
  <si>
    <t>Limitações reconhecidas pelos autores: Não informado pelo estudo. Em relação ao MSL, não examina Poder Judiciário, análise de dados jurídicos, IA aplicada à justiça ou padrões de litigância abusiva.</t>
  </si>
  <si>
    <t>PB</t>
  </si>
  <si>
    <t>TRT13</t>
  </si>
  <si>
    <t>F_150</t>
  </si>
  <si>
    <t>Web of Science Core Collection / ICEGOV 2020</t>
  </si>
  <si>
    <t>A. S. L. da Silva; A. A. Teixeira (2020). DOI: 10.1145/3428502.3428554</t>
  </si>
  <si>
    <t>Digital governance assessment from the conceptualization of information infrastructures (Avaliação da governança digital a partir da conceituação de infraestruturas de informação)</t>
  </si>
  <si>
    <t>Dispõe sobre orientação acerca da necessidade de análise criteriosa de litigância abusiva envolvendo a empresa UBER do Brasil Tecnologia e os advogados vinculados ao escritório Polastri &amp; Zattar Advogados, advogados Pedro Paulo Polastri de Castro e Almeida e Pedro Zattar Eugênio.</t>
  </si>
  <si>
    <t>Instituições públicas em geral; tribunal ou esfera judicial específica: Não informado pelo estudo.</t>
  </si>
  <si>
    <t>Framework de infraestrutura da informação, entendido como o conjunto interligado de tecnologias e sistemas que sustenta serviços digitais, exemplificado por internet, comércio eletrônico e sistemas ERP. IA: Não informado pelo estudo.</t>
  </si>
  <si>
    <t>https://formularios-corregedoria.cnj.jus.br/index.php?gf-download=2026%2F01%2FNota-Tecnica-no-004-2025.pdf&amp;form-id=57&amp;field-id=9&amp;hash=f17eef00728d7f1ed2c9697af4aa27c9832a15888b8d2fc4d5131da7fbf160d7</t>
  </si>
  <si>
    <t>Propõe avaliar a governança digital com base na infraestrutura da informação e nas tensões da base tecnológica instalada, apoiando-se em revisão da literatura.</t>
  </si>
  <si>
    <t>Limitações reconhecidas pelos autores: Não informado pelo estudo. O próprio resumo apresenta a investigação comparativa entre países desenvolvidos e em desenvolvimento como trabalho futuro. Em relação ao MSL, não aborda justiça, litigância abusiva ou análise de dados jurídicos.</t>
  </si>
  <si>
    <t>F_151</t>
  </si>
  <si>
    <t>Web of Science Core Collection / PLOS ONE</t>
  </si>
  <si>
    <t>Y. X. Zhao; Z. Z. Du (2025). DOI: 10.1371/journal.pone.0338630</t>
  </si>
  <si>
    <t>Digital governance, anti-corruption and political stability: An empirical study using cross-national panel data ( Governança digital, combate à corrupção e estabilidade política: um estudo empírico utilizando dados em painel transnacionais)</t>
  </si>
  <si>
    <t>112 países, no período de 2014 a 2023; tribunal ou esfera judicial específica: Não informado pelo estudo.</t>
  </si>
  <si>
    <t>Análise quantitativa de dados em painel, que acompanha diversos países ao longo do tempo, combinada com um framework teórico. Técnica específica de IA: Não informado pelo estudo.</t>
  </si>
  <si>
    <t>Corrupção em contexto governamental. Litigância abusiva ou padrão processual: Não informado pelo estudo.</t>
  </si>
  <si>
    <t>Os resultados indicam que a governança digital aumenta significativamente a estabilidade política, com mediação dos esforços anticorrupção, e que os efeitos variam conforme o nível de desenvolvimento econômico.</t>
  </si>
  <si>
    <t>Limitações reconhecidas pelos autores: Não informado pelo estudo. Em relação ao MSL, embora use análise de dados e trate de governança digital, não examina o Poder Judiciário, litigância abusiva, perfis de litigantes ou acesso responsável à justiça.</t>
  </si>
  <si>
    <t>F_152</t>
  </si>
  <si>
    <t>Web of Science Core Collection / Public Administration Review</t>
  </si>
  <si>
    <t>G. Vissoky; E. Vigoda-Gadot; E. M. Styrin (2026). DOI: 10.1111/puar.70125</t>
  </si>
  <si>
    <t>Digital Sentiments: Toward a Theory of Emotions in Digital Governance ( Sentimentos Digitais: Rumo a uma Teoria das Emoções na Governança Digital)</t>
  </si>
  <si>
    <t>Relações entre cidadãos, instituições governamentais e burocracias; tribunal ou esfera judicial específica: Não informado pelo estudo.</t>
  </si>
  <si>
    <t>Modelo conceitual de governança digital emocional, baseado em racionalidade limitada e modelos de aceitação de tecnologia. Considera sentimentos e respostas emocionais dos cidadãos nas interações com plataformas digitais. Técnica específica de IA: Não informado pelo estudo.</t>
  </si>
  <si>
    <t>Propõe uma teoria interdisciplinar e um conjunto de proposições sobre a relação bidirecional entre emoções e interações de governança digital, incluindo valores culturais como fatores moderadores.</t>
  </si>
  <si>
    <t>Limitações reconhecidas pelos autores: Não informado pelo estudo. Em relação ao MSL, trata-se de framework teórico, sem aplicação expressa ao Judiciário, à litigiosidade abusiva ou à análise de padrões processuais.</t>
  </si>
  <si>
    <t>F_153</t>
  </si>
  <si>
    <t>Web of Science Core Collection / International Journal of Accounting Information Systems</t>
  </si>
  <si>
    <t>W. Shi; Z. L. Zhang (2025). DOI: 10.1016/j.accinf.2025.100756</t>
  </si>
  <si>
    <t>Exploring the role of digital governance: The effect of audit digitalization on firms' internal control weaknesses in China ( Explorando o papel da governança digital: o efeito da digitalização da auditoria nas fragilidades de controle interno das empresas na China)</t>
  </si>
  <si>
    <t>Auditorias governamentais e empresas na China, especialmente empresas estatais; tribunal ou esfera judicial específica: Não informado pelo estudo.</t>
  </si>
  <si>
    <t>Análise textual para mensurar o avanço da digitalização das auditorias governamentais entre 2012 e 2022. Análise textual é a extração sistemática de informações de documentos. Técnica específica de IA: Não informado pelo estudo.</t>
  </si>
  <si>
    <t>Fraquezas de controles internos corporativos. Litigância abusiva ou padrão processual: Não informado pelo estudo.</t>
  </si>
  <si>
    <t>A digitalização das auditorias governamentais foi associada à redução da ocorrência e da quantidade de fraquezas de controle interno, especialmente em empresas estatais. O estudo também examinou efeitos conjuntos de auditoria governamental e social e fatores moderadores.</t>
  </si>
  <si>
    <t>Limitações reconhecidas pelos autores: Não informado pelo estudo. Em relação ao MSL, a aplicação é em auditoria e controle corporativo, não no sistema de justiça ou na identificação de litigância abusiva.</t>
  </si>
  <si>
    <t>F_080</t>
  </si>
  <si>
    <t>web of science/Revista Acadêmica da Faculdade de Direito do Recife</t>
  </si>
  <si>
    <t>BA</t>
  </si>
  <si>
    <t>TJBA</t>
  </si>
  <si>
    <t>L. Almeida; S.T. Teixeira. 2024. DOI: 10.51359/2448-2307.2024.262369</t>
  </si>
  <si>
    <t>F_154</t>
  </si>
  <si>
    <t>Web of Science Core Collection / Global Public Policy and Governance</t>
  </si>
  <si>
    <t>Artificial Intelligence: Discriminatory Aspects of Automation and the Possibility of Reviewing Automated Decisions (Inteligência Artificial: Aspectos Discriminatórios da Automação e a Possibilidade de Revisão de Decisões Automatizadas)</t>
  </si>
  <si>
    <t>K. Jia; S. W. Chen (2022). DOI: 10.1007/s43508-022-00047-w</t>
  </si>
  <si>
    <t>Poder Judiciário, com enfoque em automação, decisões judiciais automatizadas e legislação brasileira de privacidade e proteção de dados.</t>
  </si>
  <si>
    <t>Global digital governance: paradigm shift and an analytical framework ( Governança digital global: mudança de paradigma e uma estrutura analítica)</t>
  </si>
  <si>
    <t>Governança digital global; analisa três casos de questões globais. Tribunais ou países específicos: Não informado pelo estudo.</t>
  </si>
  <si>
    <t>Framework analítico integrado composto por natureza dos bens comuns globais, estrutura global de poder e regime de governança. Técnica específica de IA: Não informado pelo estudo.</t>
  </si>
  <si>
    <t>Discussão sobre Inteligência Artificial e decisões automatizadas, com foco em vieses discriminatórios, revisão humana e transparência. Não apresenta arquitetura computacional específica.</t>
  </si>
  <si>
    <t>Propõe explicar a heterogeneidade das respostas de governança digital global e aplica o framework a três casos, indicando sua capacidade analítica.</t>
  </si>
  <si>
    <t>Limitações reconhecidas pelos autores: Não informado pelo estudo. Em relação ao MSL, não trata do Poder Judiciário, de dados jurídicos, de padrões de litigiosidade ou de acesso responsável à justiça.</t>
  </si>
  <si>
    <t>Contribui para a gestão dos processos sobrestados e o aprimoramento do uso dos códigos de movimentação disponíveis na Tabela Processual Unificada do Poder Judiciário.</t>
  </si>
  <si>
    <t>Não trata de litigância. Analisa vieses discriminatórios e riscos de decisões automatizadas no contexto judicial.</t>
  </si>
  <si>
    <t>https://formularios-corregedoria.cnj.jus.br/index.php?gf-download=2024%2F12%2FNota-tecnica-no-03.2024-codigos-de-movimentacao-TPU.pdf&amp;form-id=57&amp;field-id=9&amp;hash=27d28671482cc060da0e8bc92e13e3c0f32fa8ac426ec75db5fc40e96876c666</t>
  </si>
  <si>
    <t>Defende a necessidade de revisão humana das decisões automatizadas e cooperação entre Judiciário transparente, sociedade informada e profissionais de tecnologia com base ética.</t>
  </si>
  <si>
    <t>F_155</t>
  </si>
  <si>
    <t>O resumo não informa limitações metodológicas. Em relação ao MSL, contribui para governança ética e controle da IA, mas não trata de litigiosidade abusiva ou análise de padrões processuais.</t>
  </si>
  <si>
    <t>Web of Science Core Collection / Administração Pública e Gestão Social</t>
  </si>
  <si>
    <t>E. Luciano; F. Santos; G. C. Wiedenhöft; R. da Silva (2024). DOI: Não informado pelo estudo.</t>
  </si>
  <si>
    <t>Identifying Barriers to the Adoption of the Brazilian Digital Governance Policy and the Role of Collaborative Governance ( Identificação de Barreiras à Adoção da Política de Governança Digital Brasileira e o Papel da Governança Colaborativa)</t>
  </si>
  <si>
    <t>Organizações da Administração Pública brasileira; 11 gestores de TIC. Tribunal ou esfera judicial específica: Não informado pelo estudo.</t>
  </si>
  <si>
    <t>Tecnologias da Informação e Comunicação aplicadas à oferta de informações e serviços públicos. Arquitetura ou técnica específica de IA: Não informado pelo estudo.</t>
  </si>
  <si>
    <t>Identifica barreiras à adoção da Política de Governança Digital e as classifica como estruturais ou culturais, individuais, organizacionais ou estratégicas. Discute quais barreiras demandam processos de governança colaborativa.</t>
  </si>
  <si>
    <t>Limitações reconhecidas pelos autores: Não informado pelo estudo. Em relação ao MSL, não aborda o sistema de justiça, litigância abusiva ou análise de dados jurídicos; a contribuição está nas barreiras institucionais à governança digital.</t>
  </si>
  <si>
    <t>F_156</t>
  </si>
  <si>
    <t>Web of Science Core Collection / Contemporary Italian Politics</t>
  </si>
  <si>
    <t>C. Dallara; G. Vecchi; D. Cavallini; M. Di Giulio (2024). DOI: 10.1080/23248823.2023.2289728</t>
  </si>
  <si>
    <t>Implementing NRRP policies and the interest groups perspective in the justice sector: the "Ufficio per il processo" reform ( A implementação das políticas do NRRP e a perspectiva dos grupos de interesse no setor de justiça: a reforma do "Ufficio per il processo")</t>
  </si>
  <si>
    <t>Setor de justiça da Itália; reforma Ufficio per il processo; participação da Associação Nacional de Magistrados e do Conselho Nacional da Ordem dos Advogados.</t>
  </si>
  <si>
    <t>Digitalização é mencionada como uma das áreas das políticas de reforma. Arquitetura, ferramenta ou técnica específica de IA/análise de dados: Não informado pelo estudo.</t>
  </si>
  <si>
    <t>Analisa a implementação de reforma organizacional que introduz novos servidores para apoiar processos judiciais e destaca a relação entre função judicial, gestão dos tribunais, recursos disponíveis e influência de grupos de interesse.</t>
  </si>
  <si>
    <t>Limitações reconhecidas pelos autores: Não informado pelo estudo. Em relação ao MSL, possui aderência ao contexto judicial e à governança, mas não apresenta tecnologia de IA, análise de padrões de litigância ou tratamento de litigância abusiva.</t>
  </si>
  <si>
    <t>F_157</t>
  </si>
  <si>
    <t>Web of Science Core Collection / Regulation &amp; Governance</t>
  </si>
  <si>
    <t>K. Sipulová; S. Spác; D. Kosar; T. Papousková; V. Derka (2022). DOI: 10.1111/rego.12453</t>
  </si>
  <si>
    <t>Judicial Self-Governance Index: Towards better understanding of the role of judges in governing the judiciary ( Índice de Autogoverno Judicial: Rumo a uma melhor compreensão do papel dos juízes na gestão do Poder Judiciário)</t>
  </si>
  <si>
    <t>Judiciários da Alemanha, Itália, Tchéquia e Eslováquia.</t>
  </si>
  <si>
    <t>Índice de Autogoverno Judicial baseado em 60 competências agrupadas em oito dimensões. Um índice transforma diferentes características institucionais em medidas comparáveis. IA: Não informado pelo estudo.</t>
  </si>
  <si>
    <t>Apresenta conceituação empiricamente testada da governança judicial, cria um índice para medir o poder detido por juízes e o aplica a dados longitudinais de quatro países, mostrando que o fortalecimento do poder judicial não depende exclusivamente do modelo de conselho judicial.</t>
  </si>
  <si>
    <t>Limitações reconhecidas pelos autores: Não informado pelo estudo. Em relação ao MSL, oferece indicador e evidência empírica relevantes à governança judicial, mas não aborda litigância abusiva, perfis de litigantes ou IA aplicada a processos.</t>
  </si>
  <si>
    <t>TO</t>
  </si>
  <si>
    <t>TJTO</t>
  </si>
  <si>
    <t>ADESÃO A NOTA TÉCNICA N. 1/2022 DO TJMG.</t>
  </si>
  <si>
    <t>https://formularios-corregedoria.cnj.jus.br/index.php?gf-download=2023%2F10%2FNota_Tecnica_No_10_-_CINUGEP_06.032023_-_com_anexo.pdf&amp;form-id=57&amp;field-id=9&amp;hash=fab09e26c7fef64eb02d56652795684673b5d814533220a947a7441c05524c29</t>
  </si>
  <si>
    <t>F_160</t>
  </si>
  <si>
    <t>Web of Science Core Collection / ICEGOV 2021</t>
  </si>
  <si>
    <t>A. S. L. da Silva; A. A. Teixeira; T. C. R. Cavalcanti (2021). DOI: 10.1145/3494193.3494298</t>
  </si>
  <si>
    <t>The Digital Divide and the Smart Digital Governance in Brazil: Tensions between the skills of multiple policy areas and the needs of society ( A exclusão digital e a governança digital inteligente no Brasil: tensões entre as competências de múltiplas áreas de políticas públicas e as necessidades da sociedade)</t>
  </si>
  <si>
    <t>Brasil; múltiplos domínios de políticas públicas; tribunal ou esfera judicial específica: Não informado pelo estudo.</t>
  </si>
  <si>
    <t>Framework de tensões baseado na Teoria da Infraestrutura da Informação, usado para analisar relações entre competências de diferentes áreas políticas e necessidades sociais. IA: Não informado pelo estudo.</t>
  </si>
  <si>
    <t>Apresenta panorama das tensões que contribuem para a divisão digital e que demandam práticas eficientes de governança digital inteligente no Brasil.</t>
  </si>
  <si>
    <t>Limitações reconhecidas pelos autores: a investigação das práticas de governança digital inteligente e da divisão digital em países desenvolvidos ou em desenvolvimento é indicada como estudo futuro. Em relação ao MSL, não aborda especificamente o Judiciário ou litigância abusiva, mas se relaciona indiretamente ao acesso equitativo a serviços digitais.</t>
  </si>
  <si>
    <t>F_161</t>
  </si>
  <si>
    <t>Web of Science Core Collection / Applied Economics</t>
  </si>
  <si>
    <t>N. G. Elbahnasawy; A. R. Osmani; T. M. Shaughnessy (2026). DOI: 10.1080/00036846.2025.2482241</t>
  </si>
  <si>
    <t>The role of digital governance instruments and internet usage on government stability and regime durability ( O papel dos instrumentos de governança digital e do uso da internet na estabilidade governamental e na durabilidade do regime)</t>
  </si>
  <si>
    <t>Painel amplo de países, com análises por grupos de renda; tribunal ou esfera judicial específica: Não informado pelo estudo.</t>
  </si>
  <si>
    <t>Dados em painel e múltiplos métodos de estimação para analisar governo eletrônico, participação eletrônica e uso da internet. Técnica específica de IA: Não informado pelo estudo.</t>
  </si>
  <si>
    <t>Identifica efeitos duais: ferramentas de governança digital e uso da internet podem reduzir a estabilidade governamental no curto prazo, mas ampliar a durabilidade do regime ao longo do tempo. Os efeitos são mais pronunciados em países de alta renda.</t>
  </si>
  <si>
    <t>Limitações reconhecidas pelos autores: Não informado pelo estudo. Em relação ao MSL, não se relaciona ao sistema de justiça, à litigância abusiva ou à análise de dados jurídicos, apesar de empregar avaliação quantitativa de instrumentos digitais.</t>
  </si>
  <si>
    <t>F_162</t>
  </si>
  <si>
    <t>Web of Science Core Collection / Information Polity</t>
  </si>
  <si>
    <t>E. Ruijer; M. Brinkhuis; W. Hassink (2026). DOI: 10.1177/15701255251406770</t>
  </si>
  <si>
    <t>Towards a Framework for Digital Governance Curricula: What Skills and Knowledge do Governance Students Need? ( Rumo a uma Estrutura para Currículos de Governança Digital: Quais Competências e Conhecimentos os Estudantes de Governança Precisam?)</t>
  </si>
  <si>
    <t>Programas educacionais de governança digital; tribunal ou esfera judicial específica: Não informado pelo estudo.</t>
  </si>
  <si>
    <t>Framework curricular com duas categorias de competências digitais: operacionais, ligadas ao uso prático das tecnologias, e reflexivas, ligadas à avaliação crítica de seus efeitos. IA específica: Não informado pelo estudo.</t>
  </si>
  <si>
    <t>Desenvolve, testa e refina um framework curricular baseado em revisão da literatura, entrevistas e avaliação de três programas de governança digital, considerando os papéis de estudantes como cidadãos, profissionais e acadêmicos.</t>
  </si>
  <si>
    <t>Limitações reconhecidas pelos autores: Não informado pelo estudo. Em relação ao MSL, concentra-se em formação e competências, sem aplicação ao Judiciário, à litigância abusiva ou à análise de dados processuais.</t>
  </si>
  <si>
    <t>F_163</t>
  </si>
  <si>
    <t>Web of Science Core Collection / Electronic Participation (ePart 2025)</t>
  </si>
  <si>
    <t>T. Barbereau; L. Weigl; A. F. van Veenstra (2026). DOI: 10.1007/978-3-032-02515-9_10</t>
  </si>
  <si>
    <t>Untangling the Digital Governance Landscape of the European Union: A Framework and Application to Digital Technologies ( Desvendando o Cenário da Governança Digital da União Europeia: Uma Estrutura e sua Aplicação a Tecnologias Digitais)</t>
  </si>
  <si>
    <t>União Europeia e Estados-Membros; tribunal ou esfera judicial específica: Não informado pelo estudo.</t>
  </si>
  <si>
    <t>Framework tridimensional de intervenções de governança digital, composto por pilares, níveis de intervenção política e tecnologias digitais. Foi desenvolvido indutivamente por oficinas e entrevistas com especialistas e aplicado a três tecnologias, não especificadas no resumo.</t>
  </si>
  <si>
    <t>O framework busca reduzir a complexidade do ambiente regulatório e estratégico da União Europeia, esclarecer o conceito de governança digital e identificar áreas não cobertas, denominadas pelos autores de 'white spots'.</t>
  </si>
  <si>
    <t>Limitações reconhecidas pelos autores: Não informado pelo estudo. Em relação ao MSL, oferece método de mapeamento de governança e tecnologias, mas não aborda Poder Judiciário, litigiosidade abusiva ou acesso responsável à justiça.</t>
  </si>
  <si>
    <t>F_164</t>
  </si>
  <si>
    <t>Web of Science Core Collection / Revista Direito GV</t>
  </si>
  <si>
    <t>R. L. da Costa; F. C. Lunardi; T. D. Guimaraes (2026). DOI: 10.1590/2317-6172202614</t>
  </si>
  <si>
    <t>Virtual Hearings, Efficiency, and Access to Justice: A Lawyers' Perception Survey ( Audiências Virtuais, Eficiência e Acesso à Justiça: Uma Pesquisa sobre a Percepção dos Advogados)</t>
  </si>
  <si>
    <t>Poder Judiciário brasileiro; 250 advogados com experiência em audiências virtuais.</t>
  </si>
  <si>
    <t>Audiências virtuais e análise quantitativa de questionário por análise fatorial exploratória, método estatístico que reúne respostas correlacionadas em fatores. IA: Não informado pelo estudo.</t>
  </si>
  <si>
    <t>Não identifica litigância abusiva ou padrões de comportamento de litigantes. Examina dificuldades em audiências virtuais, especialmente em casos sensíveis, como crimes sexuais e violência doméstica.</t>
  </si>
  <si>
    <t>Identifica quatro fatores: recursos e estrutura, acessibilidade, desempenho e procedimento. Aponta necessidade de melhorar conexão de internet, interação entre réu e juiz, tratamento de testemunhas e coleta de provas. Recomenda infraestrutura tecnológica e padronização de procedimentos para fortalecer eficiência, governança judicial e acesso mais equitativo à justiça.</t>
  </si>
  <si>
    <t>Limitações reconhecidas pelos autores: o resumo informa que o tema permanece pouco explorado com parâmetros científicos; outras limitações não são informadas. Em relação ao MSL, apresenta alta aderência à governança judicial e ao acesso à justiça, mas não utiliza IA nem investiga litigância abusiva ou perfis de litigância.</t>
  </si>
  <si>
    <t>F_167</t>
  </si>
  <si>
    <t>Google Scholar / Dissertação de Mestrado Profissional (Universidade Federal do Tocantins – UFT / Escola Superior da Magistratura Tocantinense – ESMAT)</t>
  </si>
  <si>
    <t>Wallyson Lemos dos Reis Oliveira (2025). DOI: Não informado pelo estudo.</t>
  </si>
  <si>
    <t>Litigância Predatória (Abusiva) e a Atuação do Centro de Inteligência do Tribunal de Justiça do Tocantins: Análise Interdisciplinar e Proposta de Protocolo para Combater esse Fenômeno</t>
  </si>
  <si>
    <t>Tribunal de Justiça do Estado do Tocantins (TJTO), com análise comparativa das Notas Técnicas dos Centros de Inteligência de diversos Tribunais Estaduais, do Conselho Nacional de Justiça (CNJ) e da jurisprudência do Superior Tribunal de Justiça (Tema 1.198). O foco central é a atuação do Centro de Inteligência do Núcleo de Gerenciamento de Precedentes (CINUGEP/NUGEPAC) do TJTO</t>
  </si>
  <si>
    <t>Não desenvolve modelo próprio de Inteligência Artificial. O estudo fundamenta-se em inteligência organizacional baseada em Centros de Inteligência, análise documental, Business Intelligence (BI), análise de dados institucionais, gestão de precedentes e monitoramento de litigância repetitiva. Menciona o Laboratório Interdisciplinar de Inteligência Artificial da ESMAT (LIIARES) apenas como estrutura institucional, sem propor algoritmo ou arquitetura computacional específica.</t>
  </si>
  <si>
    <t>Caracteriza a litigância predatória/abusiva como utilização reiterada e estratégica do Poder Judiciário mediante ajuizamento massivo de demandas artificiais, abuso do direito de ação, fracionamento indevido de pretensões, padronização de petições, utilização de documentos falsos ou inconsistentes, captação irregular de clientes, litigantes habituais, assédio processual e outras práticas que comprometem a eficiência judicial. Analisa a evolução terminológica entre "litigância predatória" e "litigância abusiva", especialmente após o julgamento do Tema Repetitivo 1.198 do STJ.</t>
  </si>
  <si>
    <t>Conclui que os Centros de Inteligência representam importante mecanismo de governança judiciária para identificação, prevenção e enfrentamento da litigância abusiva. Demonstra que a atuação do CINUGEP/TJTO encontra-se alinhada às diretrizes nacionais, porém identifica lacunas procedimentais que justificam a elaboração de um Protocolo específico de prevenção e combate à litigância abusiva, capaz de padronizar fluxos, fortalecer a atuação institucional, aprimorar a análise de dados, racionalizar a prestação jurisdicional e preservar os princípios do acesso à justiça e da razoável duração do processo.</t>
  </si>
  <si>
    <t>Pesquisa qualitativa, exploratória, bibliográfica e documental, baseada em revisão doutrinária, análise de jurisprudência, resoluções do CNJ, notas técnicas dos Centros de Inteligência e relatórios institucionais. O estudo reconhece como desafios a inexistência de conceito doutrinário uniforme, a necessidade de distinguir litigância abusiva de litigância repetitiva legítima, a preservação do direito fundamental de acesso à Justiça e a necessidade de atuação interdisciplinar e cooperativa entre órgãos do Poder Judiciário. O principal produto tecnológico da pesquisa consiste na proposta de protocolo institucional, e não em ferramenta de Inteligência Artificial.</t>
  </si>
  <si>
    <t>F_168</t>
  </si>
  <si>
    <t>Scopus / Asian Journal of Law and Society
 https://www.cambridge.org/core/journals/asian-journal-of-law-and-society/article/an-artificialintelligencebased-semantic-assist-framework-for-judicial-trials/0FEA3BAA82EAAB8F7368DFC0A4909DF7</t>
  </si>
  <si>
    <t>Yaohui Jin; Hao He (2020/2021)
 DOI: 10.1017/als.2020.33</t>
  </si>
  <si>
    <t>An Artificial-Intelligence-Based Semantic Assist Framework for Judicial Trials ( Uma estrutura de assistência semântica baseada em inteligência artificial para julgamentos judiciais)</t>
  </si>
  <si>
    <t>Tribunais chineses e processo de julgamento judicial.</t>
  </si>
  <si>
    <t>Estrutura de assistência semântica baseada em IA. Utiliza modelos de aprendizado de máquina e aprendizado profundo em múltiplas etapas para extrair e verificar fatos jurídicos; depois representa semanticamente esses fatos e suas relações para gerar fundamentos de apoio ao magistrado.</t>
  </si>
  <si>
    <t>Não informado pelo estudo. O artigo não trata de litigância abusiva, predatória, repetitiva ou perfilamento de litigantes.</t>
  </si>
  <si>
    <t>Propõe uma arquitetura transparente e lógica para apoiar julgamentos, em vez de aplicar diretamente resultados de modelos de ponta a ponta. A estrutura extrai fatos, verifica relações entre fatos, circunstâncias da sentença e normas, e produz razões de apoio à decisão judicial.</t>
  </si>
  <si>
    <t>O estudo reconhece que resultados produzidos por ferramentas de IA podem apresentar lógica irregular e baixa precisão. A proposta é arquitetural e não demonstra, no texto analisado, aplicação voltada à litigância abusiva ou ao comportamento de litigantes.</t>
  </si>
  <si>
    <t>F_169</t>
  </si>
  <si>
    <t>Scopus / Artificial Intelligence and Law
 https://link.springer.com/article/10.1007/s10506-021-09294-4</t>
  </si>
  <si>
    <t>Stanley Greenstein (2021/2022)
 DOI: 10.1007/s10506-021-09294-4</t>
  </si>
  <si>
    <t>Preserving the Rule of Law in the Era of Artificial Intelligence (AI) ( Preservando o Estado de Direito na Era da Inteligência Artificial (IA))</t>
  </si>
  <si>
    <t>Sistemas jurídicos e sistemas de tomada de decisão judicial, em perspectiva normativa e transnacional.</t>
  </si>
  <si>
    <t>Inteligência artificial, aprendizado de máquina e sistemas de decisão judicial. O estudo discute modelos que processam dados para produzir ou apoiar decisões e enfatiza a necessidade de explicabilidade.</t>
  </si>
  <si>
    <t>Não informado pelo estudo. Não aborda litigância abusiva, litigância repetitiva ou perfilamento de litigantes.</t>
  </si>
  <si>
    <t>Sustenta que o uso crescente de IA pode ameaçar elementos do Estado de Direito quando sistemas opacos influenciam decisões jurídicas. Defende salvaguardas para preservar legalidade, previsibilidade, transparência e possibilidade de controle.</t>
  </si>
  <si>
    <t>Estudo predominantemente teórico e normativo. Aponta opacidade, dificuldade de explicação e tensão entre inovação tecnológica e garantias jurídicas. Em relação ao MSL, não apresenta evidência empírica de padrões de litigância abusiva.</t>
  </si>
  <si>
    <t>Proposta de alteração da Resolução nº 305, de 7 de outubro de 2014, do Conselho da Justiça Federal</t>
  </si>
  <si>
    <t>https://formularios-corregedoria.cnj.jus.br/index.php?gf-download=2025%2F11%2F3-NT-03-2020.pdf&amp;form-id=57&amp;field-id=9&amp;hash=fb69feb2f66abc0bc37a47ee88333118d34ebc92b0a069d722dc4a440e2fa090</t>
  </si>
  <si>
    <t>F_084</t>
  </si>
  <si>
    <t>F_171</t>
  </si>
  <si>
    <t>Google Scholar / ACM Ubiquity / https://doi.org/10.1145/3816422</t>
  </si>
  <si>
    <t>web of science/Mexican Law Review</t>
  </si>
  <si>
    <t>Damien Charlotin (2026). DOI: 10.1145/3816422</t>
  </si>
  <si>
    <t>Legal Applications of Artificial Intelligence ( Aplicações legais da inteligência artificial)</t>
  </si>
  <si>
    <t>Aplicações jurídicas em perspectiva ampla, incluindo prática jurídica e sistemas de justiça</t>
  </si>
  <si>
    <t>IA generativa, modelos de linguagem, automação, análise documental e apoio à pesquisa jurídica</t>
  </si>
  <si>
    <t>T. Limberger; D.B.D. Giannakos; M.M. Szinvelski. 2022. WOS:000743893500003(ISSN 1870-0578)</t>
  </si>
  <si>
    <t>Não analisa diretamente litigância abusiva; discute usos de IA que podem apoiar triagem e análise de grandes volumes de demandas</t>
  </si>
  <si>
    <t>Apresenta panorama das aplicações jurídicas da IA e de seus efeitos sobre produtividade, pesquisa e prestação de serviços jurídicos</t>
  </si>
  <si>
    <t>Artigo panorâmico; necessita validação empírica e atenção a alucinações, confidencialidade, vieses e responsabilidade profissional</t>
  </si>
  <si>
    <t>Can Judges Be Replaced by Machines? The Brazilian Case (Juízes Podem Ser Substituídos por Máquinas? O Caso Brasileiro)</t>
  </si>
  <si>
    <t>Poder Judiciário brasileiro, com análise do uso da IA e da possibilidade de substituição de juízes por máquinas.</t>
  </si>
  <si>
    <t>Estudo doutrinário sobre Inteligência Artificial e substituição de tarefas judiciais por ferramentas algorítmicas. Não apresenta arquitetura computacional específica.</t>
  </si>
  <si>
    <t>Não trata de litigância. Analisa a automação de tarefas judiciais simples e recorrentes.</t>
  </si>
  <si>
    <t>Conclui que a IA pode reduzir custos e acelerar tarefas judiciais simples e frequentes, mas a responsabilidade final pela decisão deve permanecer com o juiz. A eventual substituição exigiria resultados adequados e eficientes, além de capacidade de adaptação por correções humanas.</t>
  </si>
  <si>
    <t>O resumo aponta risco filosófico de “fim da interpretação” caso juízes sejam substituídos por máquinas. Em relação ao MSL, não identifica padrões de litigiosidade, mas contribui para o debate sobre governança, supervisão humana e limites da automação judicial.</t>
  </si>
  <si>
    <t>RS</t>
  </si>
  <si>
    <t>NOTA TÉCNICA CONJUNTA Nº 04/2025 – REINT4/CLIPR/CLISC/CLIRS</t>
  </si>
  <si>
    <t>&lt;i&gt;Propõe a suspensão temporária dos processos que tratam de descontos em benefícios previdenciários em favor de entidades associativas e sindicais, em razão da existência de encaminhamentos administrativos para devolução dos valores e da conveniência da adoção de tratamento institucional uniforme das demandas.&lt;/i&gt;</t>
  </si>
  <si>
    <t>https://formularios-corregedoria.cnj.jus.br/index.php?gf-download=2025%2F05%2FSEI_7779961_Nota_Tecnica.pdf&amp;form-id=57&amp;field-id=9&amp;hash=680e5dfdfe09b6eb264ea280edbf7806a1b2b1f8b466c910ac56cbed68efc78d</t>
  </si>
  <si>
    <t>F_173</t>
  </si>
  <si>
    <t>Google Scholar / arXiv / https://doi.org/10.48550/arXiv.2401.10896</t>
  </si>
  <si>
    <t>Amna Batool; Didar Zowghi; Muneera Bano (2023/2024). DOI: 10.48550/arXiv.2401.10896</t>
  </si>
  <si>
    <t>Responsible AI Governance: A Systematic Literature Review ( Governança responsável da IA: uma revisão sistemática da literatura.)</t>
  </si>
  <si>
    <t>Escopo global e organizacional de governança responsável de IA</t>
  </si>
  <si>
    <t>Frameworks, políticas, padrões, ferramentas e mecanismos de governança ao longo do ciclo de vida da IA</t>
  </si>
  <si>
    <t>Não aborda litigância abusiva; oferece critérios de governança aplicáveis a sistemas judiciais de detecção e perfilamento</t>
  </si>
  <si>
    <t>Estrutura a governança em quem responde, o que é governado, quando ocorre e como é executada; identifica lacunas em frameworks completos</t>
  </si>
  <si>
    <t>Preprint; poucos estudos respondem integralmente às dimensões de governança e há limitada validação prática</t>
  </si>
  <si>
    <t>F_086</t>
  </si>
  <si>
    <t>web of science/Law, Probability &amp; Risk</t>
  </si>
  <si>
    <t>A. Biedermann; T. Lau. 2024. DOI: 10.1093/lpr/mgae007</t>
  </si>
  <si>
    <t>Decisionalizing the Problem of Reliance on Expert and Machine Evidence (Decisionalizando o Problema da Confiança em Evidência Pericial e Evidência de Máquina)</t>
  </si>
  <si>
    <t>Contexto de prova pericial e ciência forense, com exemplo de análise de impressões digitais (fingermarks). O resumo não identifica tribunal específico.</t>
  </si>
  <si>
    <t>Não apresenta arquitetura de IA aplicada à gestão judicial. Analisa evidências de máquina, incluindo saídas de IA, a partir de uma abordagem analítico-decisória, voltada a avaliar quando o julgador deve confiar em resultados periciais ou computacionais.</t>
  </si>
  <si>
    <t>Não trata de litigância. O padrão analisado é a confiança decisória em prova pericial e em resultados produzidos por sistemas computacionais ou de IA.</t>
  </si>
  <si>
    <t>F_174</t>
  </si>
  <si>
    <t>Google Scholar / Journal of Computer Science and Technology / https://doi.org/10.24215/16666038.25.e03</t>
  </si>
  <si>
    <t>Propõe uma estrutura normativa para auxiliar o julgador a decidir se deve confiar em evidência pericial ou de máquina, indo além de métricas agregadas de desempenho, como taxas gerais de acurácia.</t>
  </si>
  <si>
    <t>Juan Eduardo D’Alotto; Claudia Pons; Rubén Leandro Antonelli (2025). DOI: 10.24215/16666038.25.e03</t>
  </si>
  <si>
    <t>Estudo predominantemente teórico. Em relação ao MSL, contribui para governança, explicabilidade e uso responsável de IA em prova judicial, mas não trata de litigância abusiva, gestão de acervo ou padrões processuais.</t>
  </si>
  <si>
    <t>Artificial Intelligence Applied in Legal Information: A Systematic Mapping Study</t>
  </si>
  <si>
    <t>Escopo internacional de informação jurídica e recuperação de documentos legais</t>
  </si>
  <si>
    <t>Recuperação de informação jurídica, expansão automática de consultas, classificação textual, NLP e aprendizado de máquina</t>
  </si>
  <si>
    <t>Não trata diretamente de litigância abusiva; técnicas podem apoiar agrupamento, busca e identificação de padrões em acervos judiciais</t>
  </si>
  <si>
    <t>Mapeia métodos de IA aplicados à informação jurídica e identifica tendências, técnicas e lacunas de pesquisa</t>
  </si>
  <si>
    <t>Resultados dependem das bases selecionadas e da qualidade dos metadados; aplicação institucional exige validação em dados judiciais reais</t>
  </si>
  <si>
    <t>F_175</t>
  </si>
  <si>
    <t>Web of Science Nextgen (Canadian Journal of Law and Society)</t>
  </si>
  <si>
    <t>Sandrine Prom Tep; Florence Millerand; Alexandra Parada (2023). DOI: 10.1017/cls.2023.14</t>
  </si>
  <si>
    <t>Access to justice and digital inclusion: beyond technological issues</t>
  </si>
  <si>
    <t>Quebec, Canadá — registros judiciais públicos informatizados (court ledgers)</t>
  </si>
  <si>
    <t>Não utiliza IA. Analisa digitalização e consulta on-line de registros judiciais públicos.</t>
  </si>
  <si>
    <t>Não examina litigância abusiva. Identifica desigualdades digitais e barreiras socioeconômicas de acesso e uso.</t>
  </si>
  <si>
    <t>Propõe compreender o acesso digital para além da disponibilidade física, considerando motivação, habilidades e uso; subsidia soluções inclusivas para registros judiciais e acesso à justiça.</t>
  </si>
  <si>
    <t>Estudo centrado no Quebec e em desigualdades digitais; não testa ferramenta de IA nem modelo preditivo. Limitação ética: a publicidade on-line do histórico judicial pode ampliar vulnerabilidades e desigualdades. Fonte: https://doi.org/10.1017/cls.2023.14</t>
  </si>
  <si>
    <t>NOTA TÉCNICA CONJUNTA Nº 04/2025 – REINT4/CLIPR/CLISC/CLIRS
 Descontos em benefícios previdenciários em favor de entidades associativas e sindicais.
 Propõe a suspensão temporária dos processos que tratam de descontos em benefícios previdenciários em favor de entidades associativas e sindicais, em razão da existência de encaminhamentos administrativos para devolução dos valores e da conveniência da adoção de tratamento institucional uniforme das demandas.</t>
  </si>
  <si>
    <t>https://formularios-corregedoria.cnj.jus.br/index.php?gf-download=2026%2F04%2FNTC-04-2025.pdf&amp;form-id=57&amp;field-id=9&amp;hash=fbc25528f841dd0b0cb7b3fa685e09ea177a3c38ec01a2a7cb799ef5d26ae1c9</t>
  </si>
  <si>
    <t>F_176</t>
  </si>
  <si>
    <t>Web of Science / Clarivate Analytics (Onati Socio-Legal Series)</t>
  </si>
  <si>
    <t>Asbjørn Storgaard (2023). DOI: 10.35295/OSLS.IISL/0000-0000-0000-1352</t>
  </si>
  <si>
    <t>Access to justice research: On the way to a broader perspective</t>
  </si>
  <si>
    <t>Escopo internacional e multidisciplinar; literatura sobre acesso à justiça, sem tribunal específico</t>
  </si>
  <si>
    <t>Não utiliza IA. Revisão de escopo da literatura.</t>
  </si>
  <si>
    <t>Não examina litigância abusiva nem padrão processual automatizado; mapeia barreiras estruturais ao acesso à justiça.</t>
  </si>
  <si>
    <t>Estabelece uma linha de base do campo e recomenda: definição mais clara do problema, multidisciplinaridade, pesquisa empírica, ampliação das realidades sociais estudadas e atenção à qualidade.</t>
  </si>
  <si>
    <t>Síntese dependente do corpus e dos critérios da revisão; predomínio de estudos jurídicos e estruturais. Serve como fundamento teórico, não como evidência sobre detecção de abuso. Fonte: https://doi.org/10.35295/OSLS.IISL/0000-0000-0000-1352</t>
  </si>
  <si>
    <t>F_097</t>
  </si>
  <si>
    <t>S.A.F.A. Serpa; M. Guerra; A.O. Gonçalves. 2025. DOI: 10.1590/0034-761220240377</t>
  </si>
  <si>
    <t>An Institutional Analysis of Telework and Performance in the Brazilian Judiciary (Uma Análise Institucional do Trabalho Não Presencial e do Desempenho no Judiciário Brasileiro)</t>
  </si>
  <si>
    <t>Tribunais Regionais Federais (TRFs), com análise das resoluções editadas pelo CNJ entre 2018 e 2024.</t>
  </si>
  <si>
    <t>Não utiliza Inteligência Artificial. Emprega abordagem qualitativa baseada na Teoria Institucional, utilizando como indicador de desempenho a Taxa Líquida de Congestionamento e o Page Test para validação estatística da tendência observada.</t>
  </si>
  <si>
    <t>Não trata de litigância. Analisa desempenho institucional dos TRFs durante e após a pandemia da COVID-19</t>
  </si>
  <si>
    <t>Verificou aumento da taxa líquida de congestionamento entre 2018 e 2023, indicando redução do desempenho institucional. Também constatou que o teletrabalho, inicialmente temporário, tornou-se prática permanente em razão de adaptações normativas promovidas pelo CNJ.</t>
  </si>
  <si>
    <t>o resumo informa que se trata de tema ainda pouco explorado na literatura. ão utiliza IA, ciência de dados jurídicos ou mineração de padrões processuais, tampouco aborda litigância abusiva</t>
  </si>
  <si>
    <t>F_101</t>
  </si>
  <si>
    <t>Scopus – Jurídicas</t>
  </si>
  <si>
    <t>Cicero Antonio Pereira; Henrique Rodrigues Lelis (2025) DOI: 10.51891/rease.v11110.21507</t>
  </si>
  <si>
    <t>G.Z. Tocchetto; C.O.D.A. Freitas. 2025. DOI: 10.17151/JURID.2025.22.1.13</t>
  </si>
  <si>
    <t>Inventive Artificial Intelligence: Thinking Technological Development without the Human Figure as Protagonist (Inteligência Artificial Inventora: Pensando o Desenvolvimento Tecnológico sem a Figura Humana como Protagonista)</t>
  </si>
  <si>
    <t>Corte Federal da Austrália, a partir da análise de decisão judicial sobre patente envolvendo Inteligência Artificial como possível inventora.</t>
  </si>
  <si>
    <t>Discussão teórico-jurídica sobre Inteligência Artificial aplicada à inovação tecnológica e ao direito de patentes. Não apresenta arquitetura de IA, algoritmo ou modelo computacional específico.</t>
  </si>
  <si>
    <t>Não trata de litigância. Analisa a possibilidade jurídica de reconhecer sistemas de IA como inventores em pedidos de patente.</t>
  </si>
  <si>
    <t>Conclui que a decisão analisada possui fundamentação consistente e favorece o desenvolvimento da inovação baseada em técnicas de IA, sem afirmar a existência de Inteligência Artificial Geral.</t>
  </si>
  <si>
    <t>não aborda Poder Judiciário como objeto de transformação digital, Inteligência Judicial, ciência de dados jurídicos ou litigância abusiva.</t>
  </si>
  <si>
    <t>TRT15</t>
  </si>
  <si>
    <t>Objeto: Recomendar a criação de ferramenta tecnológica para monitoramento das demandas ajuizadas no Tribunal Regional do
 Trabalho da 15ª Região.</t>
  </si>
  <si>
    <t>F_179</t>
  </si>
  <si>
    <t>Web of Science / Clarivate Analytics (Ius Humani)</t>
  </si>
  <si>
    <t>https://formularios-corregedoria.cnj.jus.br/index.php?gf-download=2023%2F11%2FNT005-2023-PainelMonitoramentoDemandas.pdf&amp;form-id=57&amp;field-id=9&amp;hash=54b97b36400056edb68c59a4c6ecbe624b7f688740ad28724d4e3413a34d1eed</t>
  </si>
  <si>
    <t>Eudes Vitor Bezerra; Alexsandro José Rabelo França; José Aristóbulo Caldas Fiquene Barbosa (2025). DOI: 10.31207/ih.v14i2.442</t>
  </si>
  <si>
    <t>Justice 4.0 Centers and Effectiveness of Judicial Service Delivery: Access to Justice and Procedural Efficiency in Brazil</t>
  </si>
  <si>
    <t>Brasil — Poder Judiciário; Núcleos de Justiça 4.0 e documentos oficiais do CNJ (2020–2024)</t>
  </si>
  <si>
    <t>Não identifica aplicação específica de IA. Analisa TICs, digitalização, descentralização e prestação jurisdicional remota dos Núcleos de Justiça 4.0.</t>
  </si>
  <si>
    <t>Não trata diretamente de litigância abusiva; o padrão gerencial abordado é sobrecarga de processos e morosidade judicial.</t>
  </si>
  <si>
    <t>Indica contribuição das TICs para modernização, ampliação do acesso e celeridade; ressalta potencial de novos mecanismos de resolução e gestão processual.</t>
  </si>
  <si>
    <t>Pesquisa qualitativa, bibliográfica e documental; sem experimento, indicadores quantitativos ou avaliação causal. Limitações: competência territorial, capacitação contínua, obstáculos técnicos e culturais, inclusão. Fonte: https://doi.org/10.31207/ih.v14i2.442</t>
  </si>
  <si>
    <t>F_180</t>
  </si>
  <si>
    <t>Web of Science Nextgen (Law &amp; Society Review)</t>
  </si>
  <si>
    <t>Avital Mentovich; J. J. Prescott; Orna Rabinovich-Einy (2023). DOI: 10.1111/lasr.12653</t>
  </si>
  <si>
    <t>Legitimacy and online proceedings: Procedural justice, access to justice, and the role of income</t>
  </si>
  <si>
    <t>Tribunais de trânsito com procedimentos on-line; jurisdição não explicitada no relatório Zotero</t>
  </si>
  <si>
    <t>Não utiliza IA. Examina procedimento judicial on-line, remoto, assíncrono e predominantemente escrito.</t>
  </si>
  <si>
    <t>Não examina litigância abusiva. Identifica padrão de percepção condicionado pela renda dos litigantes.</t>
  </si>
  <si>
    <t>Justiça procedimental e acesso à justiça associam-se separadamente à legitimidade. Entre pessoas de menor renda, acesso é preditor mais forte; entre as de maior renda, predomina justiça procedimental.</t>
  </si>
  <si>
    <t>O relatório não informa amostra, jurisdição e método estatístico detalhado; resultados de tribunais de trânsito podem não se generalizar. Riscos: exclusão digital e perda de elementos de percepção de justiça. Fonte: https://doi.org/10.1111/lasr.12653</t>
  </si>
  <si>
    <t>F_182</t>
  </si>
  <si>
    <t>Web of Science / Clarivate Analytics (Quaestio Iuris)</t>
  </si>
  <si>
    <t>Marcelo Negri Soares; Mauricio Avila Prazak; Julia Ribeiro de Rezende (2023). DOI: 10.12957/rqi.2023.62875</t>
  </si>
  <si>
    <t>The effectiveness of the very personal right of access to justice: Conciliation and mediation of conflicts in the light of the economic analysis of law</t>
  </si>
  <si>
    <t>Brasil — sistema de justiça; Resolução CNJ nº 125/2010; sem tribunal específico</t>
  </si>
  <si>
    <t>Não utiliza IA. Pesquisa bibliográfica e legislativa sobre mediação, conciliação e análise econômica do direito.</t>
  </si>
  <si>
    <t>Não examina litigância abusiva; discute crise da jurisdição, morosidade e desjudicialização.</t>
  </si>
  <si>
    <t>Avalia mecanismos consensuais como alternativas para segurança jurídica, efetividade, enfrentamento da morosidade e redução da pressão sobre a jurisdição estatal.</t>
  </si>
  <si>
    <t>Abordagem teórica, sem dados quantitativos sobre acordos, duração, custos ou redução de acervo. A eficiência econômica não deve eclipsar autonomia, equilíbrio e acesso substantivo. Fonte: https://doi.org/10.12957/rqi.2023.62875</t>
  </si>
  <si>
    <t>Ações Repetitivas de Expedição de Diploma por Instituições de Ensino Superior Inativas –Preservação do Acervo Acadêmico por Meio de Digitalização</t>
  </si>
  <si>
    <t>F_107</t>
  </si>
  <si>
    <t>https://formularios-corregedoria.cnj.jus.br/index.php?gf-download=2025%2F11%2F7-NT-01-2021.pdf&amp;form-id=57&amp;field-id=9&amp;hash=5cf0269b8d12687b8c1878a6a2a960dddf70c34905ff4156acdb8e809dd54466</t>
  </si>
  <si>
    <t>J.L. Nunes; I.A. Hartmann. 2022. DOI: 10.1007/s10506-021-09290-8</t>
  </si>
  <si>
    <t>A Quantitative Approach to Ranking Corporate Law Precedents in the Brazilian Superior Court of Justice (Uma Abordagem Quantitativa para Classificação de Precedentes de Direito Empresarial no Superior Tribunal de Justiça Brasileiro)</t>
  </si>
  <si>
    <t>Superior Tribunal de Justiça (STJ). O estudo analisa 282.040 acórdãos relacionados ao direito empresarial produzidos entre 2008 e 2018.</t>
  </si>
  <si>
    <t>Utiliza análise de redes (Network Analysis) aplicada a precedentes judiciais. Como os acórdãos não possuíam ligações estruturadas entre citações, os autores extraíram as citações diretamente do texto integral das decisões e utilizaram o algoritmo de Modularity para identificar grupos de precedentes relacionados. Em linguagem simples, a técnica cria uma rede entre as decisões e identifica automaticamente quais precedentes exercem maior influência.</t>
  </si>
  <si>
    <t>Não trata de litigância. Identifica padrões de citações entre precedentes e mede quantitativamente sua influência na jurisprudência empresarial do STJ.</t>
  </si>
  <si>
    <t>O estudo produziu um ranking objetivo dos precedentes mais influentes do STJ em direito empresarial e demonstrou que grande parte da jurisprudência concentra-se em um único tema relacionado aos contratos de participação acionária das empresas de telefonia. A metodologia reduz a subjetividade na identificação de precedentes relevantes e fortalece pesquisas empíricas sobre precedentes judiciais.</t>
  </si>
  <si>
    <t>os dados estavam disponíveis apenas em texto integral, exigindo extração automática das citações. não aborda Inteligência Artificial, litigância abusiva, perfis de litigantes ou apoio à identificação de demandas repetitivas; concentra-se na análise quantitativa de precedentes.</t>
  </si>
  <si>
    <t>F_184</t>
  </si>
  <si>
    <t>Pablo Carvacho; Isabel Arriagada; Leonardo Cofré (2022). DOI: 10.35295/OSLS.IISL/0000-0000-0000-1220</t>
  </si>
  <si>
    <t>Access to justice: A conceptual review of its components</t>
  </si>
  <si>
    <t>Estudos empíricos de acesso à justiça; abordagem centrada nas pessoas, sem tribunal específico</t>
  </si>
  <si>
    <t>Não utiliza IA. Revisão conceitual de categorias usadas em pesquisas empíricas.</t>
  </si>
  <si>
    <t>Não examina abuso processual; identifica trajetórias, problemas judicializáveis vinculados, clusters, superproblemas e problemas secundários — categorias úteis à análise de perfis e necessidades jurídicas.</t>
  </si>
  <si>
    <t>Propõe compreensão dinâmica, autônoma e integral do acesso; distingue conhecimento, vontade e recursos econômicos nas necessidades jurídicas instrumentais, sistêmicas e substantivas.</t>
  </si>
  <si>
    <t>Modelo conceitual, sem teste de classificação automatizada. Relevante para construção ética de variáveis de perfil, evitando reduzir pessoas a contagens estáticas. Fonte: https://doi.org/10.35295/OSLS.IISL/0000-0000-0000-1220</t>
  </si>
  <si>
    <t>F_111</t>
  </si>
  <si>
    <t>Scopus – Digital Government: Research and Practice</t>
  </si>
  <si>
    <t>J. Pereira; A. Assumpcao; J. Trecenti; L. Airosa; C. Lente; J. Cléto; G. Dobins; R. Nogueira; L. Mitchell; R. Lotufo. 2025. DOI: 10.1145/3652951</t>
  </si>
  <si>
    <t>INACIA: Integrating Large Language Models in Brazilian Audit Courts: Opportunities and Challenges (INACIA: Integração de Grandes Modelos de Linguagem nos Tribunais de Contas Brasileiros: Oportunidades e Desafios)</t>
  </si>
  <si>
    <t>Tribunal de Contas da União / Brazilian Federal Court of Accounts.</t>
  </si>
  <si>
    <t>Sistema baseado em Grandes Modelos de Linguagem (LLMs) para automatizar etapas da análise processual: extração de informações, exame de admissibilidade, análise de periculum in mora e fumus boni iuris e geração de recomendações.</t>
  </si>
  <si>
    <t>Não trata de litigância. Analisa automação de tarefas jurídicas complexas em Tribunais de Contas.</t>
  </si>
  <si>
    <t>Demonstra potencial para extrair informações relevantes, avaliar plausibilidade jurídica e formular proposições para apoio à decisão, com metodologia de validação correlacionada ao julgamento humano.</t>
  </si>
  <si>
    <t>Reconhece limitações atuais dos LLMs e recomenda otimismo cauteloso. não trata de litigância abusiva, mas tem alta aderência à IA aplicada ao sistema de justiça e apoio decisório.</t>
  </si>
  <si>
    <t>TRF1</t>
  </si>
  <si>
    <t>NOTA TÉCNICA 03/2022</t>
  </si>
  <si>
    <t>Assunto: Vícios construtivos nos imóveis subsidiados pelo Programa Minha Casa Minha Vida – Faixa 1.</t>
  </si>
  <si>
    <t>https://formularios-corregedoria.cnj.jus.br/index.php?gf-download=2023%2F10%2FMicrosoft-Word-NOTA-TEI%E2%80%A0CNICA-3.2022-final.pdf&amp;form-id=57&amp;field-id=9&amp;hash=85bf4da768a9a7afd9b1c31a2c0bba3d1bf6e06ce681fb59c4646e0d96be0211</t>
  </si>
  <si>
    <t>F_186</t>
  </si>
  <si>
    <t>Nilsiton Rodrigues de Andrade Aragão (2022). DOI: 10.12957/redp.2022.62793</t>
  </si>
  <si>
    <t>Do acesso ao Judiciário ao acesso à justiça: caminhos para a superação da cultura do litígio processual por vias autocompositivas e extrajudiciais</t>
  </si>
  <si>
    <t>Brasil — esferas judicial e extrajudicial; CPC e justiça multiportas</t>
  </si>
  <si>
    <t>Não utiliza IA. Pesquisa bibliográfica, documental e legislativa.</t>
  </si>
  <si>
    <t>Não identifica litigância abusiva; aponta cultura de concentração dos conflitos no Judiciário e resistência à autocomposição e às vias extrajudiciais.</t>
  </si>
  <si>
    <t>Sustenta que meios heterocompositivos, autocompositivos e extrajudiciais ampliam acesso efetivo; a gestão deve enfrentar a baixa adesão às vias alternativas.</t>
  </si>
  <si>
    <t>Abordagem teórica, sem mensuração de adesão, custos, duração ou resultados. Desjudicialização não deve se converter em restrição ao direito de ação. Fonte: https://doi.org/10.12957/redp.2022.62793</t>
  </si>
  <si>
    <t>F_187</t>
  </si>
  <si>
    <t>Scopus (Journal of the National Academy of Legal Sciences of Ukraine)</t>
  </si>
  <si>
    <t>Vyacheslav V. Komarov; Tetiana A. Tsuvina (2021). DOI: 10.37635/jnalsu.28(3).2021.197-208</t>
  </si>
  <si>
    <t>International standard of access to justice and subject of civil procedural law</t>
  </si>
  <si>
    <t>Padrões internacionais; CEDH, art. 6º; sistemas nacionais de justiça civil e doutrina ucraniana</t>
  </si>
  <si>
    <t>Não utiliza IA. Métodos dialético, histórico-jurídico, sistêmico, lógico, comparado e interpretação da CEDH.</t>
  </si>
  <si>
    <t>Não examina litigância abusiva; contrapõe centralismo processual e pluralismo, incluindo tutela judicial, remédios efetivos e métodos alternativos.</t>
  </si>
  <si>
    <t>Defende conceito amplo de acesso e pluralismo processual; apoia inclusão de arbitragem, arbitragem comercial internacional, mediação e outros meios no campo processual civil.</t>
  </si>
  <si>
    <t>Estudo doutrinário e interpretativo, sem avaliação empírica. Transferência a outros ordenamentos requer cautela institucional e normativa. Fonte: https://doi.org/10.37635/jnalsu.28(3).2021.197-208</t>
  </si>
  <si>
    <t>F_114</t>
  </si>
  <si>
    <t>Web of Science – Revista Direito GV</t>
  </si>
  <si>
    <t>T. Temer; K.D.G. de Mattos; M.C.D. Asperti. 2024. DOI: 10.1590/2317-6172202425</t>
  </si>
  <si>
    <t>Better than Nothing? The Idea of "Rough Justice" for Individuals in Disaster Cases (Melhor do que Nada? A Ideia de "Justiça Aproximada" para Indivíduos em Casos de Desastres)</t>
  </si>
  <si>
    <t>Processos de reparação decorrentes de desastres coletivos. O estudo analisa mecanismos de compensação utilizados em casos de grandes desastres, incluindo referências ao September 11th Victim Compensation Fund.</t>
  </si>
  <si>
    <t>Não utiliza Inteligência Artificial. Desenvolve análise jurídica sobre critérios de parametrização de indenizações e reparações coletivas.</t>
  </si>
  <si>
    <t xml:space="preserve"> Não trata de litigância abusiva. Examina o paradigma denominado rough justice, utilizado para parametrizar indenizações em situações envolvendo elevado número de vítimas.</t>
  </si>
  <si>
    <t>Conclui que mecanismos de compensação simplificada somente são legítimos quando fundamentados em critérios rigorosos, transparentes e passíveis de revisão, respeitando as necessidades das vítimas e incorporando conhecimentos tradicionais.</t>
  </si>
  <si>
    <t>Adesão à Nota Técnica da Rede de Inteligência do Poder Judiciário acerca
 do Tema Repetitivo 1198/STJ</t>
  </si>
  <si>
    <t>não trata de litigância abusiva, Inteligência Judicial, IA ou análise de padrões processuais. O foco recai sobre reparação coletiva e direitos humanos.</t>
  </si>
  <si>
    <t>https://formularios-corregedoria.cnj.jus.br/index.php?gf-download=2024%2F02%2FNOTA-TECNICA-No-7-2024-NTEC-32024.pdf&amp;form-id=57&amp;field-id=9&amp;hash=c30f44d5080110826c77ceae61a2c25d32f07cffe34df74d2bfce1cd6baca2b5</t>
  </si>
  <si>
    <t>F_189</t>
  </si>
  <si>
    <t>Sabrina Jiukoski da Silva; Ricardo Soares Stersi dos Santos; Rafael Peteffi da Silva (2020). DOI: 10.12957/redp.2020.44635</t>
  </si>
  <si>
    <t>A mediação e a conciliação como instrumentos de acesso à justiça e a sua perspectiva a partir do Código de Processo Civil: o contraponto entre a cultura da sentença e a cultura do consenso</t>
  </si>
  <si>
    <t>Brasil — Poder Judiciário; Resolução CNJ nº 125/2010 e CPC/2015</t>
  </si>
  <si>
    <t>Não utiliza IA. Análise jurídico-institucional de mediação e conciliação.</t>
  </si>
  <si>
    <t>Não examina litigância abusiva; identifica contraposição entre cultura da sentença e cultura do consenso.</t>
  </si>
  <si>
    <t>Apresenta mediação e conciliação como instrumentos do direito fundamental de acesso, da pacificação social e da gestão da crise da justiça, para além da mera redução do acervo.</t>
  </si>
  <si>
    <t>O resumo não indica avaliação quantitativa dos resultados. Ética: consenso deve ser voluntário, informado e equilibrado, não apenas mecanismo de produtividade. Fonte: https://doi.org/10.12957/redp.2020.44635</t>
  </si>
  <si>
    <t>F_190</t>
  </si>
  <si>
    <t>Web of Science Nextgen (Oxford Journal of Legal Studies)</t>
  </si>
  <si>
    <t>Abi Adams-Prassl; Jeremias Adams-Prassl (2020). DOI: 10.1093/ojls/gqaa017</t>
  </si>
  <si>
    <t>Systemic Unfairness, Access to Justice and Futility: A Framework</t>
  </si>
  <si>
    <t>Direito inglês — controle judicial de políticas públicas e risco sistêmico de frustração de pretensões meritórias</t>
  </si>
  <si>
    <t>Não utiliza IA. Estrutura conceitual de revisão judicial baseada em injustiça sistêmica; discute digitalização, sem arquitetura tecnológica.</t>
  </si>
  <si>
    <t>Não examina litigância abusiva. Padrão: risco sistêmico de inutilidade, quando litigante racional não consegue efetivar pretensão meritória devido a mecanismos do sistema.</t>
  </si>
  <si>
    <t>Orienta a gestão e o controle de políticas a olhar além do dano individual e identificar mecanismos e custos agregados que ameaçam o acesso; desafios prosperam quando o risco sistêmico é especialmente grave.</t>
  </si>
  <si>
    <t>Prova do risco sistêmico é difícil; modelo vinculado ao direito inglês. Relevante para avaliar políticas de triagem que possam excluir causas legítimas. Fonte: https://doi.org/10.1093/ojls/gqaa017</t>
  </si>
  <si>
    <t>CE</t>
  </si>
  <si>
    <t>TJCE</t>
  </si>
  <si>
    <t>&lt;p style="text-align: left"&gt;BOAS PRÁTICAS A SEREM ADOTADAS NAS AÇÕES DO PASEP. AUMENTO NO NÚMERO DE AÇÕES RELACIONADAS À MATÉRIA NO TJCE. TEMA 1150 DO STJ. OBSERVÂNCIA ÀS TESES FIRMADAS. COMBATE À GENERALIDADE DOS PEDIDOS. RECOMENDAÇÕES.&lt;/p&gt;</t>
  </si>
  <si>
    <t>https://formularios-corregedoria.cnj.jus.br/index.php?gf-download=2024%2F02%2FNT-nu00ba-7-2024-PASEP.pdf&amp;form-id=57&amp;field-id=9&amp;hash=6993445ae1b36f95a015d2f53ce630632cac2d50ae030a79438b7435e8947bf4</t>
  </si>
  <si>
    <t>F_119</t>
  </si>
  <si>
    <t>Web of Science (WOS) – Journal of Operational Risk</t>
  </si>
  <si>
    <t>"Strategic Lawsuits" AND "Digital Governance"</t>
  </si>
  <si>
    <t>G. Wu; A.Q. Du. 2026. DOI: 10.21314/JOP.2025.014</t>
  </si>
  <si>
    <t>The Digital Sentinel: Artificial Intelligence and the Mitigation of Corporate Litigation Risk (O Sentinela Digital: Inteligência Artificial e a Mitigação do Risco de Litígios Corporativos)</t>
  </si>
  <si>
    <t>O estudo analisa empresas chinesas listadas na Bolsa A-Share entre 2008 e 2023, considerando o risco de litigância corporativa. Não analisa tribunal específico nem o Poder Judiciário.</t>
  </si>
  <si>
    <t>O estudo analisa a adoção estratégica de Inteligência Artificial (Artificial Intelligence – AI) pelas empresas. O resumo informa que a IA reduz o risco de litigância por meio de dois mecanismos complementares: (i) efeito de melhoria organizacional, aumentando proatividade na inovação, diversidade do conhecimento e transparência das informações; e (ii) efeito de redução de custos, diminuindo restrições operacionais, gerenciais e financeiras. O resumo não informa o modelo de IA, algoritmo, arquitetura computacional ou técnica específica empregada.</t>
  </si>
  <si>
    <t>Não trata de litigância abusiva. O objeto do estudo é a redução do risco de litígios corporativos decorrente da adoção de Inteligência Artificial pelas empresas.</t>
  </si>
  <si>
    <t>O estudo demonstra que empresas com maior adoção de IA apresentam menor probabilidade de serem demandadas judicialmente, enfrentam menos ações judiciais, menores condenações financeiras, menor risco de inadimplência corporativa e maior agilidade gerencial. Os autores concluem que a IA fortalece a estabilidade corporativa e a governança, funcionando como ferramenta de apoio à supervisão humana, e não como sua substituta</t>
  </si>
  <si>
    <t>embora trate de Inteligência Artificial e redução de litígios, não aborda litigância abusiva, Inteligência Judicial, governança digital do Poder Judiciário ou identificação de padrões processuais.</t>
  </si>
  <si>
    <t>F_192</t>
  </si>
  <si>
    <t>Carrie Menkel-Meadow (2021). DOI: 10.35295/OSLS.IISL/0000-0000-0000-1146</t>
  </si>
  <si>
    <t>What is an appropriate measure of litigation? Quantification, qualification and differentiation of dispute resolution</t>
  </si>
  <si>
    <t>Estados Unidos, com projeção comparada; taxas de litigância, tipos de casos e meios adequados de solução</t>
  </si>
  <si>
    <t>Não utiliza IA. Revisão crítica de taxas agregadas e diferenciação qualitativa por tipos de casos.</t>
  </si>
  <si>
    <t>Examina litigância excessiva ou insuficiente. Padrão: contagem agregada é inadequada; o perfil deve considerar tipo de causa, finalidade, custo, resultado e necessidade de precedente ou efetivação de direitos.</t>
  </si>
  <si>
    <t>Recomenda qualificar e diferenciar a litigância; sustenta pluralismo processual, mas preserva o papel do processo judicial na criação e efetivação de direitos e precedentes.</t>
  </si>
  <si>
    <t>Não fornece algoritmo ou limiar universal. Critica restrições por arbitragem obrigatória, sigilo, limitações coletivas e acordos privados em massa. Essencial evitar perfilamento apenas quantitativo. Fonte: https://doi.org/10.35295/OSLS.IISL/0000-0000-0000-1146</t>
  </si>
  <si>
    <t>F_195</t>
  </si>
  <si>
    <t xml:space="preserve">Google Scholar </t>
  </si>
  <si>
    <t>"inteligência artificial" AND "litigância abusiva" AND "sistema judicial"</t>
  </si>
  <si>
    <t>Pepe, A. G.; Galvão, G. L. R.; Ferreira, T. C. 2025</t>
  </si>
  <si>
    <t>Litigância Predatória e Inteligência Artificial Generativa: Desafios para o Tribunal de Justiça de Alagoas</t>
  </si>
  <si>
    <t>Tribunal de Justiça de Alagoas (TJAL</t>
  </si>
  <si>
    <t>Inteligência Artificial Generativa (IAG) e mapeamento normativo/institucional</t>
  </si>
  <si>
    <t>Litigância predatória facilitada pelo uso de tecnologias e petições padronizadas</t>
  </si>
  <si>
    <t>Mapeia diretrizes normativas e institucionais voltadas ao enfrentamento da litigância abusiva, abordando os impactos e desafios no processo judicial</t>
  </si>
  <si>
    <t>Identificação de ações ajuizadas em massa, por um grupo de advogados identificado, envolvendo contratos de cartão de crédito em face de instituição financeira (Banco BMG S.A.), contendo narrativa genérica de ausência de contratação; desconhecimento do cartão de crédito ou das cobranças imputadas, desacompanhadas de provas do quanto alegado; documentos desatualizados, ilegíveis; comprovantes de residência em nome de terceiro sem comprovação de vínculo; distribuição irregular dos processos; fracionamento de ações; hipóteses de litispendência e conexão, inclusive entre estados diversos da federação; desconhecimento do ajuizamento de ações pela parte autora.</t>
  </si>
  <si>
    <t>Enfoque especial nas diretrizes normativas e no uso de IA generativa.</t>
  </si>
  <si>
    <t>https://formularios-corregedoria.cnj.jus.br/index.php?gf-download=2023%2F10%2FNota-Tecnica-PN009.2023.pdf&amp;form-id=57&amp;field-id=9&amp;hash=b94ee8fc435fa45554331f96e8aae2ad8f2d17504d95c376646c591b03c51937</t>
  </si>
  <si>
    <t>F_196</t>
  </si>
  <si>
    <t>Silva Tenório, J. M. 2024.</t>
  </si>
  <si>
    <t>A Inteligência Artificial como Ferramenta de Combate à Litigância Predatória</t>
  </si>
  <si>
    <t>Poder Judiciário brasileiro</t>
  </si>
  <si>
    <t>Tecnologias de automação e análise de petições padronizadas</t>
  </si>
  <si>
    <t>Ajuizamento em massa de ações utilizando petições padronizadas facilitadas por tecnologias</t>
  </si>
  <si>
    <t>Demonstra como a tecnologia facilita a identificação e o manejo de ações repetitivas e em massa que sobrecarregam o sistema de justiça.</t>
  </si>
  <si>
    <t>Abordagem conceitual da litigância judicial abusiva.</t>
  </si>
  <si>
    <t>F_197</t>
  </si>
  <si>
    <t>"CNJ" AND "litigância predatória" AND "inteligência artificial"</t>
  </si>
  <si>
    <t>Pereira, C. A.; Lelis, H. R. 2025</t>
  </si>
  <si>
    <t>O Papel do CNJ no Combate à Litigância Predatória</t>
  </si>
  <si>
    <t>Poder Judiciário brasileiro (âmbito nacional / CNJ)</t>
  </si>
  <si>
    <t>Ferramentas de inteligência artificial e mecanismos de fomento à governança digital</t>
  </si>
  <si>
    <t>Litigância abusiva e predatória com foco no tratamento e prevenção sistêmica</t>
  </si>
  <si>
    <t>Evidencia que a litigância abusiva causa enormes prejuízos ao Poder Judiciário e à sociedade, demonstrando a eficácia do uso de inteligência artificial e diretrizes institucionais no tratamento e prevenção.</t>
  </si>
  <si>
    <t>Enfoque regulatório e institucional focado nas diretrizes do Conselho Nacional de Justiça.</t>
  </si>
  <si>
    <t>F_198</t>
  </si>
  <si>
    <t>"poder judiciário" AND "litigância em massa" AND "inteligência artificial"</t>
  </si>
  <si>
    <t>Confort, L. P. 2026.</t>
  </si>
  <si>
    <t>Tecnologia e Poder Judiciário: Os Desafios da Proteção dos Direitos Fundamentais e Humanos na Sociedade 4.0</t>
  </si>
  <si>
    <t>Sistemas de inteligência artificial aplicados ao enfrentamento de demandas em massa</t>
  </si>
  <si>
    <t>Litigância em massa, direta, indireta, ilegal ou abusiva</t>
  </si>
  <si>
    <t>Analisa o uso estratégico da inteligência artificial pelo Poder Judiciário para enfrentar o volume expressivo de demandas repetitivas, salvaguardando os direitos fundamentais.</t>
  </si>
  <si>
    <t>Enfoque na interseção entre tecnologia, jurisdição e direitos fundamentais na Sociedade 4.0.</t>
  </si>
  <si>
    <t>Denúncia de irregularidade em face do sistema processual. Indício de violação do princípio ao juiz natural e direcionamento de distribuição. Recomendação à SETIM acerca de melhorias no PJE.</t>
  </si>
  <si>
    <t>https://formularios-corregedoria.cnj.jus.br/index.php?gf-download=2024%2F12%2FNota-tecnica-no-04.2024-recomendacao-a-SETIM.pdf&amp;form-id=57&amp;field-id=9&amp;hash=49c6b6532e7ad68b6527f7926073358fe044bef14bd22b0918377827964dafa3</t>
  </si>
  <si>
    <t>F_199</t>
  </si>
  <si>
    <t>"litigância predatória" AND "inteligência artificial" AND "poder judiciário"</t>
  </si>
  <si>
    <t>Oliveira Duarte, L. M. 2026.</t>
  </si>
  <si>
    <t>A Urgência da Literacia em Inteligência Artificial para Operadores do Direito</t>
  </si>
  <si>
    <t>Ferramentas de IA aplicadas à advocacia e à gestão processual</t>
  </si>
  <si>
    <t>Litigância predatória 2.0 e litigância abusiva potencializada pelo uso tecnológico</t>
  </si>
  <si>
    <t>Destaca como a tecnologia impacta a advocacia e o Poder Judiciário, evidenciando que a litigância abusiva é potencializada por ferramentas digitais e exigindo maior capacitação institucional.</t>
  </si>
  <si>
    <t>Foco na necessidade de literacia tecnológica para os operadores do direito lidarem com os novos cenários de litigância.</t>
  </si>
  <si>
    <t>F_200</t>
  </si>
  <si>
    <t>"litigância repetitiva" AND "inteligência artificial" AND "cooperação judiciária"</t>
  </si>
  <si>
    <t>Caruso, M. L. C. 2023.</t>
  </si>
  <si>
    <t>Design de Sistemas para Tratamento da Litigância Repetitiva: Conjugação de Precedentes, Inteligência Artificial e Cooperação Judiciária</t>
  </si>
  <si>
    <t>Sistemas tecnológicos de apoio ao tratamento de demandas repetitivas</t>
  </si>
  <si>
    <t>Litigância repetitiva e contencioso de massa</t>
  </si>
  <si>
    <t>Defende que o Poder Judiciário implemente mecanismos institucionais de fomento e desestímulo à litigância abusiva, conjugando precedentes e IA.</t>
  </si>
  <si>
    <t>Abordagem voltada ao design de sistemas e cooperação judiciária.</t>
  </si>
  <si>
    <t>F_201</t>
  </si>
  <si>
    <t>"inteligência artificial" AND "poder judiciário" AND "litigância abusiva"</t>
  </si>
  <si>
    <t>Carvalho, L. S. 2026.</t>
  </si>
  <si>
    <t>Inteligência Artificial: Entre os Limites e os Riscos no Âmbito Jurídico</t>
  </si>
  <si>
    <t>Técnicas de inteligência artificial aplicadas ao ecossistema de justiça</t>
  </si>
  <si>
    <t>Litigância abusiva e uso estratégico de ferramentas tecnológicas</t>
  </si>
  <si>
    <t>Detalha as técnicas de inteligência artificial que apoiam o combate à litigância abusiva, ponderando os limites e riscos regulatórios na atividade jurisdicional.</t>
  </si>
  <si>
    <t>Análise crítica sobre os limites e riscos éticos e técnicos da IA no direito.</t>
  </si>
  <si>
    <t>A presente proposta de edição de Nota Técnica, do Centro de Inteligência do Tribunal de Justiça do Estado do Rio de Janeiro, tem por escopo implementar mecanismos para coibir a judicialização predatória, entendida segundo o Conselho Nacional de Justiça, como o ajuizamento em massa em território nacional de ações com pedido e causa de pedir semelhantes em face de uma pessoa ou de um grupo específico de pessoas.</t>
  </si>
  <si>
    <t>F_202</t>
  </si>
  <si>
    <t>https://formularios-corregedoria.cnj.jus.br/index.php?gf-download=2024%2F10%2FNota-Tecnica-n.-05-2024.pdf&amp;form-id=57&amp;field-id=9&amp;hash=2e3bf2b53b9e932d33dde9a07b8fcfe070f75b576d9a217a5d199c06c09d9b4c</t>
  </si>
  <si>
    <t>"litigância predatória" AND "poder judiciário" AND "inteligência artificial"</t>
  </si>
  <si>
    <t>Monteiro, R.; Rodrigues, M. da Costa. 2024.</t>
  </si>
  <si>
    <t>Inautêntico à Justiça no Brasil: A Instrumentalização da Litigância Predatória e Seus Efeitos Deleterios ao Poder Judiciário</t>
  </si>
  <si>
    <t>Abordagem sobre como a inteligência artificial revoluciona a maneira como os precedentes são instrumentalizados</t>
  </si>
  <si>
    <t>Instrumentalização da litigância predatória e uso abusivo do aparato judicial</t>
  </si>
  <si>
    <t>Analisa os efeitos deletérios da litigância predatória e o papel transformador da tecnologia na verificação dos precedentes.</t>
  </si>
  <si>
    <t>Foco na instrumentalização inautêntica e nos precedentes judiciais.</t>
  </si>
  <si>
    <t>F_203</t>
  </si>
  <si>
    <t>Trovão, L. C. de Souza; Brito, C. R. de; Schmidt, A. S. 2025.</t>
  </si>
  <si>
    <t>Litigância Predatória e Acesso à Justiça: A Utilização da Inteligência Artificial na Detecção de Ações Abusivas</t>
  </si>
  <si>
    <t>Ferramentas de inteligência artificial voltadas à detecção de ações abusivas</t>
  </si>
  <si>
    <t>Litigância predatória e ações abusivas que afetam o acesso à justiça</t>
  </si>
  <si>
    <t>Demonstra a aplicação prática de recursos tecnológicos para rastrear e filtrar demandas abusivas, protegendo o núcleo do acesso à justiça.</t>
  </si>
  <si>
    <t>Análise centrada na relação entre filtros tecnológicos e o direito fundamental de acesso à justiça.</t>
  </si>
  <si>
    <t>F_204</t>
  </si>
  <si>
    <t>Cruz, W. S. 2025.</t>
  </si>
  <si>
    <t>Inteligência Computacional Aplicada à Análise Textual para Detecção de Litigância Predatória no Tribunal de Justiça do Tocantins</t>
  </si>
  <si>
    <t>Tribunal de Justiça do Tocantins (TJTO)</t>
  </si>
  <si>
    <t>Técnicas de inteligência artificial, mineração de dados e análise textual computacional</t>
  </si>
  <si>
    <t>Litigância predatória no âmbito jurídico e processual estadual</t>
  </si>
  <si>
    <t>Apresenta o uso prático de inteligência computacional e mineração de dados para auxiliar o TJTO na identificação e combate automatizado de padrões de litigância predatória.</t>
  </si>
  <si>
    <t>Estudo com forte aderência regional voltado diretamente ao tribunal de origem do estado</t>
  </si>
  <si>
    <t>AM</t>
  </si>
  <si>
    <t>TRT11</t>
  </si>
  <si>
    <t>F_205</t>
  </si>
  <si>
    <t>Recomenda a adoção e uso de etiqueta virtual (GIGS) em processo judicial eletrônico com suspeita de litigância abusiva.</t>
  </si>
  <si>
    <t>Camila Silveira Stangherlin; 2022; DOI 10.15600/2238-1228/cd.v21n40p1-3</t>
  </si>
  <si>
    <t>https://formularios-corregedoria.cnj.jus.br/index.php?gf-download=2024%2F12%2FNota-Tecnica-12-CI-TRT11-GIGS-suspeita-de-litigancia-abusiva.pdf&amp;form-id=57&amp;field-id=9&amp;hash=2bd1acca484cbf2e6150fd6b6ae74dd5ead54533fc8ded10fffb15aa5104f7c9</t>
  </si>
  <si>
    <t>A implementação de práticas autocompositivas no Brasil: alcances e limites na concretização da terceira onda de acesso à justiça do Projeto Florença</t>
  </si>
  <si>
    <t>Brasil; Poder Judiciário e política judiciária nacional de autocomposição; sem estudo de tribunal individualizado</t>
  </si>
  <si>
    <t>Não utiliza IA. Método dedutivo, pesquisa documental e bibliográfica</t>
  </si>
  <si>
    <t>Não trata de litigância abusiva. Examina cultura de judicialização, centralização jurisdicional e obstáculos à solução consensual</t>
  </si>
  <si>
    <t>Reconhece avanços normativos e institucionais, especialmente a Resolução CNJ nº 125/2010, mas conclui que a terceira onda foi implementada tardiamente e ainda enfrenta formalismo, burocracia e centralização. Indica necessidade de mudança cultural e efetivação prática da autocomposição</t>
  </si>
  <si>
    <t>Análise qualitativa e normativa, sem avaliação empírica de produtividade, acordos, duração ou satisfação dos usuários. DOI informado em fonte bibliográfica externa e deve ser conferido na versão editorial</t>
  </si>
  <si>
    <t>F_206</t>
  </si>
  <si>
    <t>Élisson Miessa dos Santos; 2021; DOI não identificado para esta dissertação no documento</t>
  </si>
  <si>
    <t>A participação no recurso de revista repetitivo: análise de casos envolvendo os litigantes habituais</t>
  </si>
  <si>
    <t>Tribunal Superior do Trabalho; Justiça do Trabalho; análise empírica qualitativa dos Temas 2 (divisor dos bancários) e 5 (operador de telemarketing) dos recursos de revista repetitivos</t>
  </si>
  <si>
    <t>Não utiliza IA. Estudos de caso e análise empírica qualitativa de processos, formas de participação e julgamentos repetitivos</t>
  </si>
  <si>
    <t>Litigância habitual e assimetria entre repeat players e litigantes eventuais; concentração estratégica de recursos; déficit de contraditório e de representação nos precedentes repetitivos. Não equipara, por si só, habitualidade a abuso</t>
  </si>
  <si>
    <t>O recurso repetitivo racionaliza a atuação do TST, mas pode ampliar vantagens dos litigantes habituais. A participação instrumental de entidades coletivas, MPT, partes, sobrestados, ausentes e amici curiae pode reduzir disparidades. No Tema 5, a representação dos trabalhadores foi limitada e pouco diversa; no Tema 2 houve participação coletiva mais ampla</t>
  </si>
  <si>
    <t>Amostra restrita a dois temas do TST e abordagem qualitativa. Resultados não são automaticamente generalizáveis. O documento contém DOI de outra obra nas referências; ele não foi atribuído à dissertação</t>
  </si>
  <si>
    <t>https://formularios-corregedoria.cnj.jus.br/index.php?gf-download=2024%2F06%2FNOTA-TECNICA-No-7-2024-NTEC-32024.pdf&amp;form-id=57&amp;field-id=9&amp;hash=6e3a7389a096861b1966ec1bc09c32cb146c224a14e1755756cb13d1814ec648</t>
  </si>
  <si>
    <t>F_123</t>
  </si>
  <si>
    <t>Web of Science / Computer Law &amp; Security Review</t>
  </si>
  <si>
    <t>B. Kira (2024). DOI: 10.1016/j.clsr.2024.106024</t>
  </si>
  <si>
    <t>When Non-Consensual Intimate Deepfakes Go Viral: The Insufficiency of the UK Online Safety Act (Quando Deepfakes Íntimos Não Consentidos se Tornam Virais: A Insuficiência da Lei de Segurança On-line do Reino Unido)</t>
  </si>
  <si>
    <t>Reino Unido. Analisa a Online Safety Act 2023 e sua aplicação aos deepfakes íntimos não consentidos.</t>
  </si>
  <si>
    <t>Inteligência Artificial utilizada para criação de deepfakes. O estudo discute mecanismos obrigatórios de moderação de conteúdo e ferramentas de geração de mídia sintética. Não informa arquitetura computacional específica.</t>
  </si>
  <si>
    <t>Não trata de litigância abusiva. Analisa abuso digital consistente na produção e disseminação de deepfakes íntimos não consentidos (NCID).</t>
  </si>
  <si>
    <t>Conclui que a Online Safety Act é insuficiente para prevenir os danos decorrentes dos deepfakes íntimos e propõe mecanismos preventivos obrigatórios para ferramentas de IA e sistemas robustos de moderação de conteúdo.</t>
  </si>
  <si>
    <t>Estudo jurídico-normativo. Não utiliza mineração de dados judiciais, Inteligência Judicial ou identificação de padrões de litigância abusiva.</t>
  </si>
  <si>
    <t>F_208</t>
  </si>
  <si>
    <t>Avital Mentovich; J. J. Prescott; Orna Rabinovich-Einy; 2020; DOI não identificado no documento</t>
  </si>
  <si>
    <t>Are Litigation Outcome Disparities Inevitable? Courts, Technology, and the Future of Impartiality</t>
  </si>
  <si>
    <t>Dois tribunais distritais estaduais de Michigan, Estados Unidos; infrações civis; comparação entre audiências presenciais e online</t>
  </si>
  <si>
    <t>Plataforma de tribunal online Matterhorn/ODR; análise econométrica com regressões OLS e logit, controles por juiz, acusação, tempo e características do caso. Não é modelo de IA decisória</t>
  </si>
  <si>
    <t>Não trata de litigância abusiva. Identifica disparidades de resultados associadas à raça e à idade em audiências presenciais; ausência de disparidade relevante por gênero; redução das disparidades no ambiente online</t>
  </si>
  <si>
    <t>Em 5.232 observações sobre multas e 5.155 sobre redução de acusações, as diferenças raciais e etárias observadas presencialmente diminuíram na mudança de meio. Sugere que procedimentos online podem reduzir a saliência de marcadores identitários e melhorar imparcialidade, embora outros efeitos do desenho digital também possam explicar os resultados</t>
  </si>
  <si>
    <t>Estudo observacional: não prova causalidade definitiva nem isola viés implícito de fatores estruturais. Seleção para o canal online, exclusão digital e diferenças procedimentais podem afetar resultados. Um coautor declara participação societária na empresa desenvolvedora da plataforma</t>
  </si>
  <si>
    <t>F_125</t>
  </si>
  <si>
    <t>Web of Science – Access to Justice in Eastern Europe</t>
  </si>
  <si>
    <t>A.P. Olimid; C.M. Georgescu; C.L. Gherghe. 2026. DOI: 10.33327/AJEE-18-9.1-a000173</t>
  </si>
  <si>
    <t>Transitional Justice Mechanisms and Societal Reconciliation for the Rule of Law and Democracy Consolidation in Post-Communist Romania. Jurisprudential Perspectives on Reparatory Rights, Lustration and Regime of Property (Mecanismos de Justiça de Transição e Reconciliação Social para a Consolidação do Estado de Direito e da Democracia na Romênia Pós-Comunista: Perspectivas Jurisprudenciais sobre Direitos Reparatórios, Lustration e Regime da Propriedade)</t>
  </si>
  <si>
    <t>O estudo analisa a Romênia no contexto da justiça de transição pós-comunista, examinando reformas legislativas, jurisprudência da Corte Europeia de Direitos Humanos, decisões da Corte Constitucional da Romênia e iniciativas voltadas à restituição de propriedades e consolidação democrática.</t>
  </si>
  <si>
    <t>Não utiliza Inteligência Artificial nem arquitetura computacional.</t>
  </si>
  <si>
    <t>Não trata de litigância abusiva. O artigo aborda abusos e violações de direitos ocorridos durante o regime comunista, mas não trata de litigância abusiva, abuso processual ou Strategic Lawsuits.</t>
  </si>
  <si>
    <t>Conclui que houve evolução desigual do marco normativo romeno, com avanços na justiça de transição, reconhecimento das vítimas, restituição de propriedades e fortalecimento do Estado de Direito, embora persistam desafios de fragmentação legislativa e institucional.</t>
  </si>
  <si>
    <t>Estudo qualitativo baseado em análise normativa, histórica e jurisprudencial. Não utiliza IA, mineração de dados ou Inteligência Judicial. Não apresenta limitações metodológicas expressas no resumo.</t>
  </si>
  <si>
    <t>Ratificar a Nota Técnica CIJMG Nº 13/2024, do Tribunal de Justiça do Estado de Minas Gerais – TJMG, com adaptação para a
 realidade da Justiça Federal.</t>
  </si>
  <si>
    <t>https://formularios-corregedoria.cnj.jus.br/index.php?gf-download=2024%2F11%2FNota_Tecnica-02-2024.pdf&amp;form-id=57&amp;field-id=9&amp;hash=62b46578174e0880a1b71eeb574fbf6015924fff159198575324dd2149684993</t>
  </si>
  <si>
    <t>F_129</t>
  </si>
  <si>
    <t>Web of Science – Synesis</t>
  </si>
  <si>
    <t>B.F. De Moraes; F.C. Lunardi; P.M.A.R. Correia. 2023. DOI: Não informado pelo estudo.</t>
  </si>
  <si>
    <t>The Intelligence Centers of the Judiciary and the New Public Governance: A Case Study (Os Centros de Inteligência do Poder Judiciário e a Nova Governança Pública: Um Estudo de Caso)</t>
  </si>
  <si>
    <t>Centros de Inteligência dos Tribunais de Justiça brasileiros, com estudo de caso do Centro de Inteligência do Tribunal de Justiça do Estado do Paraná.</t>
  </si>
  <si>
    <t>Não informado pelo estudo. O artigo trata dos Centros de Inteligência do Judiciário, sem descrever tecnologias ou arquiteturas de Inteligência Artificial.</t>
  </si>
  <si>
    <t>Não trata de litigância abusiva.O foco está no tratamento adequado das demandas repetitivas e de massa, não na litigância abusiva.</t>
  </si>
  <si>
    <t>Identifica fatores que influenciam o desempenho dos Centros de Inteligência, como composição, tempo de dedicação, mecanismos de provocação, trabalho em rede, divulgação e participação de atores externos. Conclui que esses Centros podem contribuir para o tratamento adequado das demandas repetitivas e de massa no Judiciário brasileiro.</t>
  </si>
  <si>
    <t>Estudo de caso qualitativo com pesquisa bibliográfica, documental e entrevistas semiestruturadas. O resumo não apresenta limitações metodológicas.</t>
  </si>
  <si>
    <t>F_211</t>
  </si>
  <si>
    <t>Leah Wing; 2022; DOI 10.5553/IJODR/235250022022009001001</t>
  </si>
  <si>
    <t>Mapping the Parameters of Online Dispute Resolution</t>
  </si>
  <si>
    <t>Perspectiva internacional sobre tribunais, plataformas e práticas de resolução online de disputas; não examina um tribunal específico</t>
  </si>
  <si>
    <t>Framework descritivo de ODR em eixo de crescente dependência tecnológica; videoconferência, comunicação, gestão de casos, apoio à decisão, automação e IA como possível ‘quarta parte’. Não desenvolve algoritmo</t>
  </si>
  <si>
    <t>Não trata de litigância abusiva. Examina padrões de desenho e uso da tecnologia na prevenção e resolução de disputas e riscos de reproduzir ou ampliar desigualdades</t>
  </si>
  <si>
    <t>Propõe parâmetros amplos para classificar ODR segundo funções e etapas, favorecendo linguagem comum, orientação ética e regulação. O mapeamento ajuda organizações a identificar responsabilidades e mecanismos de prestação de contas e a redesenhar sistemas para eficiência e acesso à justiça</t>
  </si>
  <si>
    <t>Framework conceitual, sem teste empírico comparativo. Limites éticos incluem transparência, responsabilidade, papel da IA, justiça procedimental e substantiva, privacidade, desigualdade e exclusão digital. Os parâmetros evoluem com a tecnologia</t>
  </si>
  <si>
    <t>AP</t>
  </si>
  <si>
    <t>TJAP</t>
  </si>
  <si>
    <t>006/2023</t>
  </si>
  <si>
    <t>&lt;span dir="ltr" role="presentation"&gt;Medidas de gestão processual voltadas à prevenção e enfrentamento do abuso do direito de ação (demandas &lt;/span&gt;&lt;span dir="ltr" role="presentation"&gt;predatórias) no contexto local dos municípios de Pedra Branca do Amapari e de Vitória de Jari.&lt;/span&gt;</t>
  </si>
  <si>
    <t>https://formularios-corregedoria.cnj.jus.br/index.php?gf-download=2023%2F11%2F6_2023_CEIJAP_NT_DEMANDAS_PREDATORIAS_PBA_E_VITORIA_DO_JARI_-_DJE_146.pdf&amp;form-id=57&amp;field-id=9&amp;hash=ecc73d5fbef1a3e4e1508e49c5e9059322ff410dd90912d4dbb6fc27804b666c</t>
  </si>
  <si>
    <t>F_212</t>
  </si>
  <si>
    <t>Kathryn M. Kroeper; Victor D. Quintanilla; Michael Frisby; Nedim Yel; Amy G. Applegate; Steven J. Sherman; Mary C. Murphy; 2020; DOI 10.1037/law0000229</t>
  </si>
  <si>
    <t>Underestimating the Unrepresented: Cognitive Biases Disadvantage Pro Se Litigants in Family Law Cases</t>
  </si>
  <si>
    <t>Estados Unidos; juízes de cortes civis e advogados-mediadores; cenários de direito de família em julgamento e mediação</t>
  </si>
  <si>
    <t>Não utiliza IA. Dois experimentos randomizados; manipulação da presença de advogado com demais fatores do caso mantidos constantes; análise estatística de avaliações de mérito, justiça e satisfação</t>
  </si>
  <si>
    <t>Não trata de litigância abusiva. Identifica viés cognitivo contra litigantes pro se: a ausência de advogado funciona como marcador que reduz a percepção de mérito e gera expectativas piores de justiça e satisfação</t>
  </si>
  <si>
    <t>Juízes e advogados-mediadores, em média, desvalorizaram casos de partes sem representação em comparação com casos idênticos de partes assistidas. A desvantagem foi especialmente relevante na expectativa sobre julgamento, mostrando que simplificação informacional isolada não fecha a lacuna de acesso à justiça</t>
  </si>
  <si>
    <t>Experimentos baseados em materiais hipotéticos e amostras profissionais específicas; validade externa para processos reais, outras matérias e jurisdições deve ser testada. O manuscrito adverte que não é a versão editorial definitiva; dados são desidentificados e disponibilizados no OSF</t>
  </si>
  <si>
    <t>F_134</t>
  </si>
  <si>
    <t>Scopus / Revista Eletrônica de Direito Processual,</t>
  </si>
  <si>
    <t>Bruno Freire Batista (2024). DOI: 10.12957/redp.2024.86614</t>
  </si>
  <si>
    <t>Obstructive Filter: The Microsystem of Repetitive Cases (Filtro Obstrutivo: o Microssistema dos Casos Repetitivos)</t>
  </si>
  <si>
    <t>Processo Civil Brasileiro. Analisa o microssistema de precedentes e casos repetitivos instituído pelo Código de Processo Civil.</t>
  </si>
  <si>
    <t>O resumo não apresenta utilização de Inteligência Artificial nem arquitetura computacional.</t>
  </si>
  <si>
    <t>Não trata de litigância abusiva. Analisa o funcionamento do microssistema de casos repetitivos e dos filtros processuais destinados à racionalização do julgamento.</t>
  </si>
  <si>
    <t>Demonstra que os mecanismos processuais de julgamento de casos repetitivos possuem função racionalizadora e contribuem para a uniformização jurisprudencial e a segurança jurídica.</t>
  </si>
  <si>
    <t>Estudo jurídico-dogmático. Não apresenta aplicação de Inteligência Artificial, mineração de dados ou validação empírica. Sua contribuição é indireta para o tema da governança judicial.</t>
  </si>
  <si>
    <t>F_214</t>
  </si>
  <si>
    <t>Rebecca Sandefur (entrevistada); Daniela Monteiro Gabbay; Luciana Gross Cunha; Maria Cecília de Araújo Asperti; Paulo Eduardo Alves da Silva; Susana Henriques da Costa (entrevistadores); 2020; DOI 10.1590/2317-6172201967</t>
  </si>
  <si>
    <t>Access to justice and inequalities: an interview with Professor Rebecca Sandefur</t>
  </si>
  <si>
    <t>Principalmente Estados Unidos, com diálogo comparativo com o Brasil; cortes estaduais, housing courts de Nova York, small claims courts, sistema de cobrança de dívidas e ações coletivas</t>
  </si>
  <si>
    <t>Discute automação de tarefas jurídicas simples, formulários digitais, cartas automatizadas e tecnologias de triagem, combinadas com assistência humana por court navigators. Não descreve IA, algoritmo específico ou arquitetura técnica implementada</t>
  </si>
  <si>
    <t>Medidas de gestão processual voltadas à prevenção e enfrentamento do abuso do direito de ação (demandas predatórias) no contexto local dos municípios de Pedra Branca do Amapari e de Vitória de Jari.</t>
  </si>
  <si>
    <t>Não classifica litigância abusiva de forma sistemática. Aponta vantagens estruturais de repeat players, cobranças massificadas por debt buyers com documentação deficiente, revelia de devedores, desigualdade entre representados e não representados e capacidade do sistema civil de reproduzir ou ampliar desigualdades</t>
  </si>
  <si>
    <t>https://formularios-corregedoria.cnj.jus.br/index.php?gf-download=2023%2F10%2F6_2023_CEIJAP_NT_DEMANDAS_PREDATORIAS_PBA_E_VITORIA_DO_JARI_-_DJE_146.pdf&amp;form-id=57&amp;field-id=9&amp;hash=e8dab41532a6dacba83b2c83a00202df1ec3eb5a3e24d5f1a1772958a722029c</t>
  </si>
  <si>
    <t>Soluções devem partir das necessidades jurídicas reais, combinar reformas jurídicas e serviços sociais e avaliar resultados. Navigators ajudaram usuários a apresentar mais defesas; o modelo intensivo relatado evitou despejos no primeiro ano a custo inferior ao de advogados. Regras de documentação para cobranças podem impedir ações especulativas. Tecnologia funciona melhor com suporte humano e triagem entre casos simples e complexos</t>
  </si>
  <si>
    <t>Entrevista acadêmica, sem método de pesquisa próprio nem protocolo de validação. Exemplos e percentuais são relatados pela entrevistada e exigem consulta aos estudos originais para uso como evidência. Não oferece modelo de perfil litigante e aborda IA apenas indiretamente; sustentabilidade financeira e risco de justiça de segunda classe são preocupações centrais</t>
  </si>
  <si>
    <t>F_139</t>
  </si>
  <si>
    <t>Scopus / Revista de Estudos Empíricos em Direito</t>
  </si>
  <si>
    <t>L.G. Tunala; J.E. Francisco (2025). DOI: 10.19092/reed.v12.956</t>
  </si>
  <si>
    <t>Predatory Litigation, Notarized Power of Attorney Filter and Access to Justice (Litigância Predatória, Filtro da Procuração com Firma Reconhecida e Acesso à Justiça)</t>
  </si>
  <si>
    <t>Tribunal de Justiça do Estado de São Paulo (TJSP), com estudo empírico sobre a aplicação do denominado "filtro da procuração com firma reconhecida" durante o primeiro semestre de 2023.</t>
  </si>
  <si>
    <t>Não informado pelo estudo. Não há utilização de Inteligência Artificial ou arquitetura computacional; trata-se de estudo empírico baseado em levantamento de dados judiciais.</t>
  </si>
  <si>
    <t>Analisa a litigância predatória sob a perspectiva do filtro da procuração com firma reconhecida, examinando sua utilização como mecanismo de enfrentamento do fenômeno e suas repercussões sobre o acesso à justiça.</t>
  </si>
  <si>
    <t>Conclui que o filtro revela deficiências na implementação do Tema 1.198 do STJ e propõe a verificação do consentimento informado da parte no momento da outorga de poderes ao advogado, como forma de reduzir práticas abusivas sem restringir indevidamente o direito fundamental de acesso à justiça.</t>
  </si>
  <si>
    <t>Estudo empírico baseado em dados do TJSP. Não utiliza IA. Evidencia a necessidade de equilibrar mecanismos de controle da litigância predatória com a preservação do acesso à justiça. Exportação Scopus indica 0 citações.</t>
  </si>
  <si>
    <t>F_226</t>
  </si>
  <si>
    <t>Arlynne Sthejanie Rodrigues Borges; Hildelis Silva Duarte Júnior; Amanda Silva Madureira; 2024; DOI 10.53660/CLM-2698-24A12</t>
  </si>
  <si>
    <t>Legal Transformation: The integration of lawtechs and legaltechs as drivers of Access to Justice</t>
  </si>
  <si>
    <t>Brasil, com referências a experiências internacionais; mercado jurídico, escritórios de advocacia e serviços de apoio ao sistema de justiça; não examina tribunal específico</t>
  </si>
  <si>
    <t>Lawtechs e legaltechs com automação de tarefas repetitivas, bases jurídicas, algoritmos de análise de casos e precedentes, análise preditiva, consultoria virtual, serviços remotos e resolução alternativa de disputas. Cita ROSS e Watson; não desenvolve arquitetura própria</t>
  </si>
  <si>
    <t>Não trata diretamente de litigância abusiva. Menciona litigância em grande escala e identificação de padrões, além de barreiras de acesso decorrentes de custos, complexidade, morosidade, assimetria informacional e distância geográfica</t>
  </si>
  <si>
    <t>Sustenta que lawtechs/legaltechs podem reduzir custos, simplificar procedimentos, ampliar informação jurídica, personalizar suporte, agilizar rotinas e promover métodos alternativos. Relata exemplo de automação com Watson em escritório de Recife, com aumento declarado de acertos no preenchimento de dados de 75% para 95%</t>
  </si>
  <si>
    <t>Estudo qualitativo, documental e declarado como revisão sistemática, mas o PDF não detalha protocolo de busca, bases, critérios de inclusão ou avaliação de qualidade. Predominam exemplos secundários e alegações de potencial; não há teste próprio de impacto, equidade, viés, segurança ou efetividade</t>
  </si>
  <si>
    <t>F_142</t>
  </si>
  <si>
    <t>F. Fontainha; P. Rodrigues; P. de Araujo Fernandes (2021). DOI: 10.1590/1807-01912021273797</t>
  </si>
  <si>
    <t>Dispersão de entendimento jurisprudencial sobre Revisão Geral Anual da remuneração e do subsídio dos agentes públicos. Superveniência de afetação da tese jurídica ao Tema 1.075 e de Instauração do IRDR 0005566-19.2021.8.27.2700/TO.</t>
  </si>
  <si>
    <t>The Labor Reform of 2017 and Its Effects: Analysis of the Procedural Flow of TRT1 (A Reforma Trabalhista de 2017 e seus Efeitos: Análise do Fluxo Processual do TRT da 1ª Região)</t>
  </si>
  <si>
    <t>Tribunal Regional do Trabalho da 1ª Região (TRT1). O estudo analisa os efeitos da Reforma Trabalhista (Lei nº 13.467/2017) sobre o fluxo processual entre 2015 e 2019.</t>
  </si>
  <si>
    <t>https://formularios-corregedoria.cnj.jus.br/index.php?gf-download=2025%2F04%2FNota-Tecnica-9.pdf&amp;form-id=57&amp;field-id=9&amp;hash=9fe9f28d95c6384b3226503f9337edecddb1307f306883164a42a3c8d792389e</t>
  </si>
  <si>
    <t>Não informado pelo estudo. Utiliza técnicas de estatística descritiva para análise do fluxo processual. Não emprega Inteligência Artificial.</t>
  </si>
  <si>
    <t>Não trata de litigância abusiva ou predatória. Analisa os efeitos da Reforma Trabalhista sobre o acesso à justiça, o volume processual, os temas das ações e os valores das causas e condenações.</t>
  </si>
  <si>
    <t>Demonstra redução do número de processos após a Reforma Trabalhista, acompanhada de mudanças nos principais assuntos discutidos em juízo e nos valores das causas e condenações. O estudo evidencia alterações estruturais no fluxo processual da Justiça do Trabalho.</t>
  </si>
  <si>
    <t>Pesquisa empírica baseada em estatística descritiva aplicada aos dados do TRT1. Não aborda Inteligência Artificial, litigância predatória ou mecanismos de identificação de litigantes habituais. Sua contribuição é indireta para estudos de gestão judicial. Exportação Scopus indica 0 citações.</t>
  </si>
  <si>
    <t>F_228</t>
  </si>
  <si>
    <t>Felipe Medeiros Mariz; Valter Moura do Carmo; 2023; DOI 10.26668/IndexLawJournals/2023.v9i2.10144</t>
  </si>
  <si>
    <t>Um robô no tribunal: contribuições das IAs para o acesso à justiça, limites e perspectivas</t>
  </si>
  <si>
    <t>Brasil; Poder Judiciário, advocacia, Juizados Especiais Cíveis e Justiça do Trabalho; discussão sobre jus postulandi e elaboração de petições</t>
  </si>
  <si>
    <t>IA generativa e sistemas capazes de classificar processos, digitalizar documentos, captar clientes e redigir peças; ChatGPT como exemplo. Revisão conceitual, sem modelo, dados de treinamento, arquitetura ou experimento próprio</t>
  </si>
  <si>
    <t>Não trata de litigância abusiva. Identifica risco de produção acrítica ou quantitativa de processos, dependência tecnológica e ampliação da exclusão quando o jurisdicionado não dispõe de internet, letramento digital ou apoio profissional</t>
  </si>
  <si>
    <t>Admite potencial de IA para reduzir a termo relatos, estruturar petições e acrescentar legislação, doutrina e jurisprudência, especialmente onde há jus postulandi. Defende capacitação de profissionais, supervisão das respostas e reforma das normas éticas da advocacia para disciplinar os usos</t>
  </si>
  <si>
    <t>Pesquisa bibliográfica aplicada, dedutiva, qualitativa e explicativa; não testa ferramentas nem usuários. Algumas observações tecnológicas são temporalmente datadas. Limitações centrais: alucinações/defasagem, autoria e responsabilidade profissional, exclusão digital, ausência de regulação e risco de substituição indevida do julgamento crítico</t>
  </si>
  <si>
    <t>F_229</t>
  </si>
  <si>
    <t>Aiko Watanabe; 2024; DOI 10.55843/ISC2024conf324w</t>
  </si>
  <si>
    <t>Artificial Intelligence and Access to Justice: Analyzing Technology’s Role in Legal Systems from a Human Rights Perspective</t>
  </si>
  <si>
    <t>Análise internacional e comparada; exemplos dos Estados Unidos, França, Países Baixos e contextos de imigração, justiça criminal, tribunais administrativos e resolução online de disputas</t>
  </si>
  <si>
    <t>Machine learning, NLP, análise preditiva, e-discovery, pesquisa jurídica automatizada, chatbots, ODR, policiamento preditivo, reconhecimento facial e avaliação algorítmica de risco; examina COMPAS, DoNotPay e outras plataformas, sem implementar modelo próprio</t>
  </si>
  <si>
    <t>Não trata de litigância abusiva. Identifica discriminação algorítmica, reprodução de desigualdades históricas e impacto desproporcional sobre comunidades marginalizadas; também discute triagem de grandes volumes de casos</t>
  </si>
  <si>
    <t>Reconhece ganhos possíveis de eficiência, consistência, redução de custos e ampliação do acesso. Propõe transparência, auditorias independentes, supervisão humana, direito de contestar decisões, reformas regulatórias, alfabetização jurídica digital, avaliações de impacto em direitos humanos e abordagem ‘human rights by design’</t>
  </si>
  <si>
    <t>Estudo interdisciplinar, jurídico e ético, baseado em literatura e casos secundários; não realiza validação empírica. Agrupa tecnologias com riscos distintos e depende da qualidade das fontes citadas. Riscos: opacidade, privacidade, discriminação, déficit de responsabilização, devido processo e tecnossolucionismo</t>
  </si>
  <si>
    <t>Ressarcimento/indenização por danos materiais figurando como autoras, as Seguradoras sub-rogadas no direito dos consumidores lesados.</t>
  </si>
  <si>
    <t>https://formularios-corregedoria.cnj.jus.br/index.php?gf-download=2025%2F04%2FNota_Tecnica_8_-_CINUGEP.pdf&amp;form-id=57&amp;field-id=9&amp;hash=10d0aad19c811b7ebded4416407f9a580f3409cf1747713fad3a9c067cb9bd02</t>
  </si>
  <si>
    <t>F_231</t>
  </si>
  <si>
    <t>Google Scholar; Portal Percurso/UNICURITIBA – v.1 n.32 (2020). URL: https://revista.unicuritiba.edu.br/index.php/percurso/article/view/4258</t>
  </si>
  <si>
    <t>"sham litigation" OR "abuso do direito de petição"</t>
  </si>
  <si>
    <t>Amanda Cristina Paulin; Lara Helena Luiza Zambão; 2020; DOI 10.21902/RevPercurso.2316-7521.v1i32.4258</t>
  </si>
  <si>
    <t>Tratamento do Sham Litigation no Direito Concorrencial Brasileiro à Luz da Jurisprudência do CADE no Ano de 2018</t>
  </si>
  <si>
    <t>Brasil; Conselho Administrativo de Defesa Econômica (CADE); direito concorrencial e interface com o processo civil</t>
  </si>
  <si>
    <t>Não utiliza IA. Análise jurídico-doutrinária e jurisprudencial de casos do CADE; diálogo com o CPC/2015 e litigância de má-fé.</t>
  </si>
  <si>
    <t>Sham litigation / abuso do direito de petição com finalidade anticoncorrencial; uso de procedimentos judiciais ou administrativos para impor custos colaterais ao concorrente.</t>
  </si>
  <si>
    <t>Apresenta bases doutrinárias brasileiras e examina casos do CADE, sustentando que o abuso do direito de petição pode configurar ilícito concorrencial mesmo sem tipificação expressa.</t>
  </si>
  <si>
    <t>Estudo jurídico, sem IA, mineração de dados ou modelo de detecção automática. Aderência ao MSL ocorre pela caracterização normativa de litigância abusiva, não pelo eixo tecnológico.</t>
  </si>
  <si>
    <t>F_257</t>
  </si>
  <si>
    <t>Carlos E. Mendoza-Rivera; 2026; DOI não identificado no documento nem na página editorial consultada</t>
  </si>
  <si>
    <t>The Role of Artificial Intelligence in Transforming Legal Practice and Access to Justice</t>
  </si>
  <si>
    <t>Perspectiva internacional, com ênfase na Índia; exemplos dos Estados Unidos e da Suprema Corte da Índia, incluindo COMPAS, CaseMine e SUPACE</t>
  </si>
  <si>
    <t>Machine learning, NLP, análise preditiva, pesquisa jurídica, revisão documental, análise contratual, e-discovery, chatbots, ODR e sistemas de apoio à decisão. Cita ROSS, Westlaw Edge, CaseMine, COMPAS e SUPACE; não implementa arquitetura própria</t>
  </si>
  <si>
    <t>Não trata de litigância abusiva. Aborda grandes acervos, automação de rotinas repetitivas e previsão de resultados, além do risco de reproduzir preconceitos de dados históricos e aprofundar desigualdades de casta, gênero e condição socioeconômica</t>
  </si>
  <si>
    <t>Sustenta que IA pode reduzir custos e tempo, melhorar pesquisa, gestão de casos, previsibilidade e acesso de populações vulneráveis. Recomenda uso colaborativo: ampliar as capacidades de advogados e juízes, sem substituir julgamento, empatia e discricionariedade humanas</t>
  </si>
  <si>
    <t>Artigo de revisão narrativa, sem método empírico, protocolo de busca ou avaliação de ferramentas. Riscos: viés algorítmico, caixa-preta, privacidade, segurança, responsabilidade por erros, dependência, formação profissional, empregos e lacunas regulatórias. As afirmações de impacto são prospectivas e exigem validação</t>
  </si>
  <si>
    <t>F_232</t>
  </si>
  <si>
    <t>Google Scholar; Revista do TRF1 / BDJur-STJ. URL: https://revista.trf1.jus.br/trf1/article/view/296</t>
  </si>
  <si>
    <t>"sham litigation" AND Brasil OR CADE</t>
  </si>
  <si>
    <t>nº 03/2024</t>
  </si>
  <si>
    <t>Gustavo Santos Diniz; Vicente Bagnoli; 2021; DOI não informado pelo artigo/registro consultado</t>
  </si>
  <si>
    <t>Sham litigation no Brasil: desenvolvimento, critérios e crítica ( Lítigio Abusivo no Brasil)</t>
  </si>
  <si>
    <t>Demandas predatórias consubstanciadas na distribuição de diversas ações nas varas cíveis, pelo mesmo advogado, e com a prática reiterada de ausência de apresentação dos documentos mínimos hábeis a comprovar o fato constitutivo do direito do autor - adesão à recomendação do TJAM</t>
  </si>
  <si>
    <t>Brasil; Conselho Administrativo de Defesa Econômica (CADE), com comparação aos Estados Unidos</t>
  </si>
  <si>
    <t>https://formularios-corregedoria.cnj.jus.br/index.php?gf-download=2024%2F05%2FNota-Tecnica-no-03-2024.pdf&amp;form-id=57&amp;field-id=9&amp;hash=309aaa3c9fb2cd17d079e7a5570345262aa0065b495d3caec381d5c2a6e7ef4e</t>
  </si>
  <si>
    <t>Não utiliza IA. Estudo de casos e análise de precedentes do CADE a partir de critérios derivados da doutrina e jurisprudência norte-americanas.</t>
  </si>
  <si>
    <t>Sham litigation / abuso do direito de petição; processo utilizado como subterfúgio para prejudicar concorrente, independentemente do resultado material da ação.</t>
  </si>
  <si>
    <t>Reúne a jurisprudência do CADE sobre o tema e observa empiricamente critérios utilizados nos casos, concluindo que a autoridade adota parâmetros estrangeiros e apontando críticas de compatibilidade com o direito brasileiro.</t>
  </si>
  <si>
    <t>Não emprega ciência de dados, IA ou modelo automatizado. Forte contribuição para operacionalização jurídica de critérios de identificação de litigância abusiva.</t>
  </si>
  <si>
    <t>F_233</t>
  </si>
  <si>
    <t>Web of Science; Scopus; Google Scholar – European Journal of Political Economy/Elsevier. URL: https://www.sciencedirect.com/science/article/pii/S0176268021000094</t>
  </si>
  <si>
    <t>"sham litigation" AND tax OR "tax deferment"</t>
  </si>
  <si>
    <t>Sugata Marjit; Suryaprakash Mishra; Sandip Mitra; 2021; DOI 10.1016/j.ejpoleco.2021.102008</t>
  </si>
  <si>
    <t>Tax evasion by tax deferment: Sham litigation with an informal credit market (Evasão fiscal por meio de diferimento de impostos: Litígio simulado com mercado de crédito informal)</t>
  </si>
  <si>
    <t>Índia; disputas tributárias e administração fiscal, com evidências de firmas do estado de West Bengal</t>
  </si>
  <si>
    <t>Não utiliza IA. Modelo econômico teórico empiricamente fundamentado sobre incentivo à litigância fiscal simulada e diferimento tributário.</t>
  </si>
  <si>
    <t>Sham litigation utilizada para contestar cobranças tributárias e postergar pagamento, permitindo retorno financeiro superior à penalidade aplicada ao diferimento.</t>
  </si>
  <si>
    <t>Mostra como o mercado informal de crédito pode tornar economicamente vantajosa a litigância simulada tributária e propõe pagamento antecipado de parte do tributo disputado como mecanismo de contenção.</t>
  </si>
  <si>
    <t>Foco econômico-tributário, não judicial-digital. Não trata de IA ou identificação automatizada; contribui para compreensão dos incentivos econômicos que geram litigância abusiva.</t>
  </si>
  <si>
    <t>F_234</t>
  </si>
  <si>
    <t>"frivolous litigation" OR "frivolous lawsuits" AND "fee-shifting"</t>
  </si>
  <si>
    <t>Yannick Gabuthy; Emmanuel Peterle; Jean-Christian Tisserand; 2021; DOI 10.1016/j.socec.2021.101705</t>
  </si>
  <si>
    <t>Legal Fees, Cost-Shifting Rules and Litigation: Experimental Evidence ( Honorários advocatícios, regras de repartição de custos e litígios: evidências experimentais)</t>
  </si>
  <si>
    <t>Experimento econômico sobre processo civil; comparação de regras americana e inglesa de alocação de custos</t>
  </si>
  <si>
    <t>Não utiliza IA. Experimento controlado para testar arranjos de honorários e regras de sucumbência sobre esforço do advogado, decisão de litigar e ações frívolas.</t>
  </si>
  <si>
    <t>Frivolous lawsuits / ações sem mérito; o estudo avalia como incentivos econômicos do financiamento e da alocação de custos podem aumentar ou desestimular demandas frívolas.</t>
  </si>
  <si>
    <t>Conclui que a combinação de honorários contingentes e regra inglesa melhora incentivos de esforço, mas pode aumentar ações frívolas, indicando necessidade de mecanismos adicionais contra demandas sem mérito.</t>
  </si>
  <si>
    <t>Estudo experimental econômico, não aplicado a bases reais do Judiciário e sem IA. Relevante para causas/incentivos de litigância frívola, mas contribuição indireta para governança digital.</t>
  </si>
  <si>
    <t>&lt;p style="text-align: left"&gt;Adesão à Nota Técnica nº 03/2022, do Centro de Inteligência Judiciária do
 Estado de Santa Catarina (CIJESC), considerando que os problemas apontados nas
 demandas relacionadas a empréstimos consignados e descritos na referida nota
 técnica também foram identificados no Poder Judiciário do Estado da Bahia&lt;/p&gt;</t>
  </si>
  <si>
    <t>https://formularios-corregedoria.cnj.jus.br/index.php?gf-download=2024%2F12%2FNota-tu00e9cnica-nu00ba-01.2024-adesu00e3o-NT-n.-03.2022-do-CIJESC.pdf&amp;form-id=57&amp;field-id=9&amp;hash=a6502b8436bcc8e2c0a7b46e76508068c01dad94c4acade29471c6b74352b9aa</t>
  </si>
  <si>
    <t>F_235</t>
  </si>
  <si>
    <t>Google Scholar; Loyola of Los Angeles Law Review. URL: https://digitalcommons.lmu.edu/llr/vol54/iss2/7/</t>
  </si>
  <si>
    <t>"frivolous litigation" OR "frivolous SLAPP suits" OR SLAPP</t>
  </si>
  <si>
    <t>Shine Sean Tu; Nicholas F. Stump; 2021; DOI não informado no artigo de revista consultado</t>
  </si>
  <si>
    <t>Free Speech in the Balance: Judicial Sanctions and Frivolous SLAPP Suits ( A Liberdade de Expressão em Jogo: Sanções Judiciais e Ações SLAPP Temerárias)</t>
  </si>
  <si>
    <t>Estados Unidos; ações de difamação, Primeira Emenda e Rule 11</t>
  </si>
  <si>
    <t>Não utiliza IA. Análise jurídico-normativa de padrões de litigância e sanções judiciais.</t>
  </si>
  <si>
    <t>SLAPP frívola; demandas de difamação repetidas, padronizadas ('cookie-cutter') e utilizadas por repeat players para suprimir expressão protegida.</t>
  </si>
  <si>
    <t>Propõe teste de quatro fatores para sanções: padrão de conduta/repetição, natureza dos réus, proporcionalidade dos danos pleiteados e ausência de reconvenção; sugere sanções reforçadas contra advogados.</t>
  </si>
  <si>
    <t>Não há validação computacional nem base de dados judicial automatizada. Alta utilidade para o MSL por fornecer fatores observáveis que podem servir como variáveis de detecção de padrão abusivo.</t>
  </si>
  <si>
    <t>F_236</t>
  </si>
  <si>
    <t>Scopus (link institucional); Google Scholar – Adelaide Law Review. URL: https://researchnow.flinders.edu.au/en/publications/vexatious-litigant-orders-in-south-australia-time-for-a-new-look/</t>
  </si>
  <si>
    <t>"vexatious litigation" OR "vexatious litigant"</t>
  </si>
  <si>
    <t>Jordan Tutton; 2021; DOI não informado pelo artigo/registro</t>
  </si>
  <si>
    <t>Vexatious Litigant Orders in South Australia: Time for a New Look? ( Ordens contra Litigantes Vexatórios na Austrália do Sul: Hora de uma Nova Abordagem?)</t>
  </si>
  <si>
    <t>Austrália; Supreme Court of South Australia e legislação sobre litigantes vexatórios</t>
  </si>
  <si>
    <t>Não utiliza IA. Análise de legislação, política judiciária e decisões recentes sobre ordens restritivas a litigantes vexatórios.</t>
  </si>
  <si>
    <t>Vexatious litigation; instauração persistente de processos vexatórios e uso ineficiente de recursos judiciais.</t>
  </si>
  <si>
    <t>Analisa função protetiva das ordens contra litigantes vexatórios e conclui pela necessidade de revisão mais nuançada da legislação e da prática na Austrália do Sul.</t>
  </si>
  <si>
    <t>Pesquisa jurídica e de casos, sem IA ou mineração de dados. Contribui para critérios institucionais de tratamento de litigantes persistentes, mas não testa identificação automática.</t>
  </si>
  <si>
    <t>F_237</t>
  </si>
  <si>
    <t>Google Scholar; SSRN Electronic Journal. URL: https://papers.ssrn.com/sol3/papers.cfm?abstract_id=4092013</t>
  </si>
  <si>
    <t>SLAPP OR "Strategic Lawsuits Against Public Participation" AND European Union</t>
  </si>
  <si>
    <t>Judit Bayer; Petra Bárd; Lina Vosyliūtė; Ngo Chun Luk; 2021; DOI 10.2139/ssrn.4092013</t>
  </si>
  <si>
    <t>Strategic Lawsuits Against Public Participation (SLAPP) in the European Union. A Comparative Study ( Ações Judiciais Estratégicas contra a Participação Pública (SLAPP) na União Europeia: Um Estudo Comparativo)</t>
  </si>
  <si>
    <t>União Europeia; análise comparada de Estados-membros e proteção de jornalistas, ONGs e sociedade civil</t>
  </si>
  <si>
    <t>Não utiliza IA. Estudo comparado jurídico-institucional sobre SLAPPs e respostas normativas.</t>
  </si>
  <si>
    <t>SLAPP; procedimentos de retaliação destinados a inibir participação pública e liberdade de expressão sobre assuntos de interesse público.</t>
  </si>
  <si>
    <t>Mapeia práticas de SLAPP na União Europeia, seus efeitos sobre democracia e direitos fundamentais e discute opções de proteção e harmonização normativa.</t>
  </si>
  <si>
    <t>Estudo comparativo, não tecnológico e sem modelo automatizado. Relevante para taxonomia, indicadores jurídicos e desenho institucional de prevenção de abusos.</t>
  </si>
  <si>
    <t>F_238</t>
  </si>
  <si>
    <t>Scopus; Google Scholar – Journal of Media Law/Taylor &amp; Francis. URL: https://www.tandfonline.com/doi/abs/10.1080/17577632.2022.2129614</t>
  </si>
  <si>
    <t>SLAPP OR "Strategic litigation against public participation" AND GDPR</t>
  </si>
  <si>
    <t>Melinda Rucz; 2022; DOI 10.1080/17577632.2022.2129614</t>
  </si>
  <si>
    <t>SLAPPed by the GDPR: protecting public interest journalism in the face of GDPR-based strategic litigation against public participation ( Alvo de ações SLAPP com base no GDPR: protegendo o jornalismo de interesse público diante de litígios estratégicos contra a participação pública )fundamentados no GDPR</t>
  </si>
  <si>
    <t>Europa/União Europeia; proteção de dados (GDPR) e jornalismo de interesse público</t>
  </si>
  <si>
    <t>Não utiliza IA. Análise jurídica da utilização estratégica de procedimentos de proteção de dados contra jornalismo de interesse público.</t>
  </si>
  <si>
    <t>TRT5</t>
  </si>
  <si>
    <t>SLAPP baseada em GDPR; procedimentos abusivos de proteção de dados utilizados como alternativa às ações de difamação para pressionar ou silenciar jornalistas.</t>
  </si>
  <si>
    <t>Mostra que implementações nacionais estreitas da exceção jornalística podem deixar o GDPR suscetível a uso abusivo e discute formas de fortalecer a proteção ao jornalismo de interesse público.</t>
  </si>
  <si>
    <t>Estudo jurídico, sem IA ou mineração de dados. Contribui para reconhecer mudança de fundamento jurídico como padrão estratégico de litigância abusiva.</t>
  </si>
  <si>
    <t>Nota técnica sobre Litigância Predatória</t>
  </si>
  <si>
    <t>https://formularios-corregedoria.cnj.jus.br/index.php?gf-download=2024%2F07%2Fnota_tecnica_002-2024_publicacao.pdf&amp;form-id=57&amp;field-id=9&amp;hash=5c6511b09180fa3aeadb4788661879d1c1ea4d7803c9045422669e2465b90ab6</t>
  </si>
  <si>
    <t>F_239</t>
  </si>
  <si>
    <t>Google Scholar; Revista Ibero-Americana de Humanidades, Ciências e Educação (REASE). URL: https://periodicorease.pro.br/rease/article/view/3963</t>
  </si>
  <si>
    <t>Angelo da Silva Oliveira; 2022; DOI 10.51891/rease.v8i1.3963</t>
  </si>
  <si>
    <t>Sham Litigation: abuso do direito de petição, aspectos gerais e panorama nacional</t>
  </si>
  <si>
    <t>Brasil, com referência a casos nacionais e marcos jurisprudenciais internacionais; direito concorrencial</t>
  </si>
  <si>
    <t>Não utiliza IA. Revisão jurídica de legislação, doutrina e casos de abuso do direito de petição.</t>
  </si>
  <si>
    <t>Sham litigation / abuso do direito de petição; uso abusivo do acesso a órgãos estatais em contexto concorrencial.</t>
  </si>
  <si>
    <t>Discute aspectos gerais, casos nacionais e precedentes internacionais relevantes para a consolidação do conceito e para a defesa da livre concorrência.</t>
  </si>
  <si>
    <t>Estudo predominantemente bibliográfico e jurídico; não desenvolve variáveis quantitativas, IA ou sistema de monitoramento. Útil para delimitação conceitual do fenômeno.</t>
  </si>
  <si>
    <t>F_240</t>
  </si>
  <si>
    <t>Google Scholar; Dialnet / Avatares de la Comunicación y la Cultura, n.24. URL: https://dialnet.unirioja.es/servlet/articulo?codigo=9811963</t>
  </si>
  <si>
    <t>SLAPP OR "litigio contra la participación pública" OR "demandas estratégicas contra la participación pública"</t>
  </si>
  <si>
    <t>Damián Loreti; Luis Lozano; 2022; DOI não informado pelo registro</t>
  </si>
  <si>
    <t>Escúchame si puedes: el estrecho margen para las voces disidentes. Del litigio contra la participación pública a la moderación de contenidos por actores privados ( Ouça-me, se puder: a margem estreita para vozes dissidentes. Do litígio contra a participação pública à moderação de conteúdo por atores privados)</t>
  </si>
  <si>
    <t>Argentina/perspectiva latino-americana; liberdade de expressão, atores públicos e privados</t>
  </si>
  <si>
    <t>Não utiliza IA. Análise jurídico-comunicacional de mecanismos de silenciamento, incluindo SLAPP e moderação privada de conteúdos.</t>
  </si>
  <si>
    <t>SLAPP / litigio estratégico contra la participación pública; ações promovidas para silenciar vozes críticas em assuntos de interesse público.</t>
  </si>
  <si>
    <t>Analisa a proposta de Diretiva Anti-SLAPP e alerta que limitação excessiva de seu escopo pode reduzir a proteção contra procedimentos judiciais abusivos.</t>
  </si>
  <si>
    <t>Não realiza análise empírica automatizada nem propõe tecnologia de detecção. Contribuição relevante para o eixo de acesso responsável à justiça e impacto democrático do abuso processual.</t>
  </si>
  <si>
    <t>F_241</t>
  </si>
  <si>
    <t>Scopus; Google Scholar – ERA Forum/Springer Nature. URL: https://link.springer.com/article/10.1007/s12027-023-00774-5</t>
  </si>
  <si>
    <t>SLAPP OR "Strategic litigation against public participation" OR "anti-SLAPP"</t>
  </si>
  <si>
    <t>Francesca Farrington; Magdalena Zabrocka; 2023; DOI 10.1007/s12027-023-00774-5</t>
  </si>
  <si>
    <t>Punishment by Process: The Development of Anti-SLAPP Legislation in the European Union( Punição por meio do Processo: O Desenvolvimento da Legislação Anti-SLAPP na União Europeia)</t>
  </si>
  <si>
    <t>PE</t>
  </si>
  <si>
    <t>União Europeia; proposta de Diretiva Anti-SLAPP; proteção de jornalistas, defensores de direitos humanos e sociedade civil</t>
  </si>
  <si>
    <t>TJPE</t>
  </si>
  <si>
    <t>Não utiliza IA. Análise jurídica comparativa das propostas e posições institucionais da União Europeia.</t>
  </si>
  <si>
    <t>11 - CIJUSPE</t>
  </si>
  <si>
    <t>Ementa. Adesão à Nota Técnica CIJDF 15/2025: “Fracionamento Abusivo de Demandas”. Tema Repetitivo 1.198/Superior Tribunal de Justiça. Recomendação 159/2024 do Conselho Nacional de Justiça (CNJ). Orientação aos (às) magistrados(as).</t>
  </si>
  <si>
    <t>https://formularios-corregedoria.cnj.jus.br/index.php?gf-download=2025%2F12%2FNota-Tecnica-CIJUSPE-TJPE-N.-11-2025.pdf&amp;form-id=57&amp;field-id=9&amp;hash=5bb977bc5c5adbfa82b07c8791103ce8b5206420ffb61e440981e23c3c7bdb7c</t>
  </si>
  <si>
    <t>SLAPP; inclui táticas abusivas como pedidos exagerados ou infundados de indenização, alteração/retirada estratégica de pedidos, exploração de recursos e forum shopping.</t>
  </si>
  <si>
    <t>Não apresenta ferramenta tecnológica. Muito relevante para o MSL por explicitar sinais/táticas observáveis de abuso processual que podem subsidiar futuras variáveis de análise de dados.</t>
  </si>
  <si>
    <t>F_242</t>
  </si>
  <si>
    <t>Google Scholar; European Constitutional Law Review/Cambridge Core. URL: https://www.cambridge.org/core/journals/european-constitutional-law-review/article/0272C88533A2411847B602CFAA5683EB</t>
  </si>
  <si>
    <t>SLAPP OR "Strategic Lawsuits against Public Participation" AND "rule of law"</t>
  </si>
  <si>
    <t>Adam Bodnar; Aleksandra Gliszczyńska-Grabias; volume/issue 2023; publicação online 2024; DOI 10.1017/S1574019624000063</t>
  </si>
  <si>
    <t>Strategic Lawsuits against Public Participation (SLAPPs), the Governance of Historical Memory in the Rule of Law Crisis, and the EU Anti-SLAPP Directive ( Processos Estratégicos contra a Participação Pública (SLAPPs), a Governança da Memória Histórica na Crise do Estado de Direito e a Diretiva da UE sobre SLAPPs)</t>
  </si>
  <si>
    <t>União Europeia e Polônia; Estado de Direito, memória histórica, liberdade acadêmica e resposta europeia às SLAPPs</t>
  </si>
  <si>
    <t>Não utiliza IA. Análise jurídico-constitucional e institucional de SLAPPs em contexto de retrocesso do Estado de Direito.</t>
  </si>
  <si>
    <t>SLAPP como instrumento de pressão contra críticos e participantes do debate público, inclusive no campo da memória histórica e liberdade acadêmica.</t>
  </si>
  <si>
    <t>Relaciona SLAPPs à crise do Estado de Direito e examina a resposta da União Europeia, especialmente a Diretiva Anti-SLAPP, enfatizando proteção da participação pública e liberdade acadêmica.</t>
  </si>
  <si>
    <t>Há discrepância temporal: volume 19, issue 4 é dezembro de 2023, mas a publicação online e o DOI são de 2024. Não utiliza IA ou dados judiciais automatizados; incluir com nota bibliográfica.</t>
  </si>
  <si>
    <t>F_244</t>
  </si>
  <si>
    <t>SciELO Brasil; Revista de Administração Pública. Fonte: https://www.scielo.br/j/rap/</t>
  </si>
  <si>
    <t>"frivolous litigation" AND health litigation AND Brazil</t>
  </si>
  <si>
    <t>Natalia Pires de Vasconcelos; 2021; DOI 10.1590/0034-761220200121</t>
  </si>
  <si>
    <t>Entre justiça e gestão: colaboração interinstitucional na judicialização da saúde</t>
  </si>
  <si>
    <t>Brasil; sistema de justiça e gestão da saúde</t>
  </si>
  <si>
    <t>Não utiliza IA. Análise comparativa de estratégias interinstitucionais.</t>
  </si>
  <si>
    <t>Litigância frívola em demandas de saúde; triagem pré-processual como mecanismo preventivo.</t>
  </si>
  <si>
    <t>Mapeia respostas colaborativas entre órgãos de justiça e saúde e mecanismos de triagem para administrar a judicialização.</t>
  </si>
  <si>
    <t>RO</t>
  </si>
  <si>
    <t>Foco principal em governança da judicialização da saúde; não desenvolve detecção automatizada.</t>
  </si>
  <si>
    <t>TJRO</t>
  </si>
  <si>
    <t>Promover de forma preventiva e repressiva o auxílio aos magistrados e magistradas com orientações quanto ao procedimento padrão que podem ser adotados, a depender do caso concreto, quando identificado que a demanda seja fraudulenta ou predatória.</t>
  </si>
  <si>
    <t>https://formularios-corregedoria.cnj.jus.br/index.php?gf-download=2023%2F10%2FNota-Tecnica-n.-01.2022-TJRO.pdf&amp;form-id=57&amp;field-id=9&amp;hash=23a71fafd788551b16798556623ac6fcf7e67854f2f3117efc12a14fccf33ada</t>
  </si>
  <si>
    <t>F_245</t>
  </si>
  <si>
    <t>Google Scholar; Ratio Juris – Faculdade de Direito do Sul de Minas.</t>
  </si>
  <si>
    <t>"sham litigation" AND administração pública AND licitação</t>
  </si>
  <si>
    <t>João Marcos Moreira Prado; Elias Kallás Filho; 2022; DOI: Não informado pelo artigo</t>
  </si>
  <si>
    <t>Sham litigation e administração pública: fundamentos legais e possível ocorrência em procedimentos licitatórios</t>
  </si>
  <si>
    <t>Brasil; Administração Pública; licitações; direito concorrencial</t>
  </si>
  <si>
    <t>Não utiliza IA. Pesquisa jurídico-doutrinária.</t>
  </si>
  <si>
    <t>Sham litigation como abuso do direito de ação/petição com fins anticoncorrenciais em procedimentos licitatórios.</t>
  </si>
  <si>
    <t>Discute fundamentos legais e a possibilidade de ocorrência de sham litigation em licitações.</t>
  </si>
  <si>
    <t>Sem análise automatizada ou mineração de dados.</t>
  </si>
  <si>
    <t>F_246</t>
  </si>
  <si>
    <t>Google Scholar; Cleveland State Law Review; University of Denver Digital Commons. Fonte: https://engagedscholarship.csuohio.edu/clevstlrev/vol69/iss4/6/</t>
  </si>
  <si>
    <t>"frivolous defenses" AND litigation AND civil procedure</t>
  </si>
  <si>
    <t>Thomas D. Russell; 2021; DOI do periódico: Não informado</t>
  </si>
  <si>
    <t>Frivolous Defenses ( Defesas infundadas)</t>
  </si>
  <si>
    <t>Estados Unidos; tribunais estaduais do Colorado; processo civil</t>
  </si>
  <si>
    <t>Não utiliza IA. Estudo empírico de 356 contestações em 298 ações de acidentes automobilísticos.</t>
  </si>
  <si>
    <t>Defesas frívolas e padronizadas; respostas evasivas e listas de defesas afirmativas sem suporte factual.</t>
  </si>
  <si>
    <t>Identifica padrões mensuráveis: listas de defesas com escasso suporte factual e uso reiterado de respostas processuais padronizadas.</t>
  </si>
  <si>
    <t>Não utiliza IA, mas oferece variáveis observáveis potencialmente úteis para modelos futuros de detecção.</t>
  </si>
  <si>
    <t>F_247</t>
  </si>
  <si>
    <t>Google Scholar; Loyola University Chicago Law Journal; University of Denver Digital Commons. Fonte: https://lawecommons.luc.edu/luclj/vol52/iss4/3/</t>
  </si>
  <si>
    <t>"frivolous defenses" AND Rule 8 AND litigation</t>
  </si>
  <si>
    <t>Disrupting Frivolous Defenses ( Neutralizando defesas infundadas)</t>
  </si>
  <si>
    <t>Estados Unidos; tribunais federais e estaduais; processo civil</t>
  </si>
  <si>
    <t>Não utiliza IA. Análise jurídico-empírica de práticas de defesa e decisões relacionadas à Rule 8.</t>
  </si>
  <si>
    <t>TRF2</t>
  </si>
  <si>
    <t>Defesas frívolas; respostas evasivas, documentos que 'falam por si', conclusões jurídicas e exigência de prova estrita.</t>
  </si>
  <si>
    <t>Mapeia critérios judiciais para rejeitar respostas e defesas inadequadas e sua difusão entre tribunais.</t>
  </si>
  <si>
    <t>Sem ferramenta automatizada; fornece sinais textuais/processuais concretos para análise de padrões.</t>
  </si>
  <si>
    <t>F_248</t>
  </si>
  <si>
    <t>Google Scholar; Connecticut Law Review; Fordham Law School Repository.</t>
  </si>
  <si>
    <t>"frivolous claims" AND attorney discipline AND litigation</t>
  </si>
  <si>
    <t>A Nota Técnica nº 03/2024 do Centro Local de Inteligência da Seção Judiciária do Rio de Janeiro (CLIP/SJRJ) trata da identificação de judicialização expressiva de ações de cumprimento de sentença de ação coletiva, por um mesmo grupo de advogados, vinculado ao SINTSAÚDERJ (Sindicato dos Trabalhadores no combate às endemias e saúde preventiva no Estado do Rio de Janeiro), no âmbito da Seção Judiciária do Rio de Janeiro, em face da AGU e da FUNASA, sem o devido acompanhamento de documentação essencial à propositura da demanda.
 Referidas ações objetivam liquidar e executar sentença proferida na Ação Civil Pública nº 0005019- 15.1997.4.03.6000, que teve trâmite perante a 1ª Vara Federal de Campo Grande/MS, e que resultou em decisão favorável que reconhece o direito dos membros ativos, aposentados e pensionistas do sindicato ao reajuste salarial de 28,86% para o período de janeiro de 1993 a junho de 1998, descontadas as correções previstas pelas Leis nº 8.622 e nº 8.627 de 1993.</t>
  </si>
  <si>
    <t>Bruce A. Green; 2022; DOI: Não informado pelo artigo</t>
  </si>
  <si>
    <t>https://formularios-corregedoria.cnj.jus.br/index.php?gf-download=2024%2F12%2Fnota_tecnica_no_3-2024_-clip-sjrj.pdf&amp;form-id=57&amp;field-id=9&amp;hash=8037543825182ecc976b10c1354436aa64e73a1ff96cf291f28eab7dce4011cc</t>
  </si>
  <si>
    <t>Selectively Disciplining Advocates ( Disciplinar Defensores de Forma Seletiva</t>
  </si>
  <si>
    <t>Estados Unidos; Nova York; disciplina profissional de advogados</t>
  </si>
  <si>
    <t>Não utiliza IA. Estudo empírico do processo disciplinar.</t>
  </si>
  <si>
    <t>Alegações/queixas frívolas apresentadas por advogados e advocacia excessivamente zelosa.</t>
  </si>
  <si>
    <t>Examina a resposta disciplinar a advogados que perseguem interesses de clientes mediante alegações frívolas.</t>
  </si>
  <si>
    <t>Foco em disciplina profissional; contribuição indireta para detecção de litigância abusiva.</t>
  </si>
  <si>
    <t>F_249</t>
  </si>
  <si>
    <t>Revista Jurídica Luso-Brasileira; Faculdade de Direito da Universidade de Lisboa.</t>
  </si>
  <si>
    <t>"litigância frívola" AND taxas processuais AND acesso à justiça</t>
  </si>
  <si>
    <t>José Laurindo de Souza Netto; Anderson Ricardo Fogaça; Adriane Garcel; Karen Hippertt; 2022; DOI: Não informado pelo artigo</t>
  </si>
  <si>
    <t>Acesso inautêntico à justiça e a crise da jurisdição: as taxas processuais na litigância predatória</t>
  </si>
  <si>
    <t>Portugal (periódico); objeto jurídico centrado no sistema de justiça brasileiro</t>
  </si>
  <si>
    <t>Não utiliza IA. Pesquisa qualitativa, bibliográfica e documental.</t>
  </si>
  <si>
    <t>Litigância frívola, habitual e predatória; sobreutilização do Judiciário.</t>
  </si>
  <si>
    <t>Discute incentivos institucionais e econômicos relacionados às custas/taxas e à litigância contumaz.</t>
  </si>
  <si>
    <t>Não apresenta IA ou mineração de dados; útil para fatores institucionais associados ao abuso.</t>
  </si>
  <si>
    <t>F_250</t>
  </si>
  <si>
    <t>Market and Competition Law Review – Universidade Católica Editora, Portugal. Fonte: https://www.uceditora.ucp.pt/pt/market-and-competition-law-review/3258-market-and-competition-law-review-v7-n-1-2023.html</t>
  </si>
  <si>
    <t>"sham litigation" OR "vexatious litigation" AND patent portfolios</t>
  </si>
  <si>
    <t>Emanuela Arezzo; 2023; DOI 10.34632/mclawreview.2023.12677</t>
  </si>
  <si>
    <t>Patent Portfolios and Competition Law: Some Reflections After the Recent RPSA Cases ( Portfólios de Patentes e Direito da Concorrência: Algumas Reflexões após os Recentes Casos RPSA)</t>
  </si>
  <si>
    <t>Portugal (periódico); União Europeia; concorrência e setor farmacêutico</t>
  </si>
  <si>
    <t>Não utiliza IA. Análise jurídica de portfólios de patentes e estratégias de exclusão.</t>
  </si>
  <si>
    <t>Sham/vexatious litigation como possível abuso de posição dominante em litígios de patentes.</t>
  </si>
  <si>
    <t>Examina estratégias de portfólios de patentes e situações em que sham litigation pode constituir abuso autônomo.</t>
  </si>
  <si>
    <t>Não apresenta método computacional; útil para caracterizar motivação estratégica e efeitos anticoncorrenciais.</t>
  </si>
  <si>
    <t>F_251</t>
  </si>
  <si>
    <t>Google Scholar; UC Law Constitutional Quarterly. Fonte: repositório institucional da UC Law SF.</t>
  </si>
  <si>
    <t>"sham litigation" AND patent assertion entities AND antitrust</t>
  </si>
  <si>
    <t>Katheryn M. Wenger; 2020; DOI: Não informado pelo artigo</t>
  </si>
  <si>
    <t>You Don’t Have to Pay the Troll Toll: Antitrust Violations of Patent Assertion Entities and the Noerr-Pennington Doctrine “Sham Litigation” Exception ( Você não precisa pagar o pedágio do "troll": violações antitruste por entidades de exercício de patentes e a exceção de "litígio simulado" da doutrina Noerr-Pennington)</t>
  </si>
  <si>
    <t>Estados Unidos; antitruste, propriedade intelectual e litígios de patentes</t>
  </si>
  <si>
    <t>Não utiliza IA. Análise jurídica de condutas de Patent Assertion Entities.</t>
  </si>
  <si>
    <t>Sham litigation associada a ameaças de litígios contínuos/custosos para impor licenciamento e obter vantagem anticompetitiva.</t>
  </si>
  <si>
    <t>Analisa quando condutas de PAEs podem enquadrar-se na exceção de sham litigation à imunidade Noerr-Pennington.</t>
  </si>
  <si>
    <t>Sem análise automatizada; relevante para padrões estratégicos de litigância e imposição de custos ao adversário.</t>
  </si>
  <si>
    <t>Propõe a adoção de medidas para o enfrentamento de litigância abusiva e prevenção de fraudes processuais em ações ajuizadas pelo advogado Daniel Fernando Nardon e seus substabelecidos.</t>
  </si>
  <si>
    <t>https://formularios-corregedoria.cnj.jus.br/index.php?gf-download=2025%2F05%2FSEI_7790160_Nota_Tecnica.pdf&amp;form-id=57&amp;field-id=9&amp;hash=ada94c0c19d86d7cc893ba4b87b4ce93b1ab87748c422dc1e035e7bf351ce293</t>
  </si>
  <si>
    <t>F_252</t>
  </si>
  <si>
    <t>Humanities &amp; Social Sciences Communications (Springer Nature) – artigo fornecido em PDF; base de recuperação não informada</t>
  </si>
  <si>
    <t>"abusive litigation" OR "predatory litigation" OR "litigation abuse" OR "frivolous litigation" OR "frivolous lawsuit*" OR "vexatious litigation" OR "vexatious litigant*" OR "procedural abuse" OR "abuse of process" OR "mass litigation" OR "repetitive litigation" OR "serial litigation" OR "repeat litigant*" and "judicial governance" OR "court governance" OR "digital governance" OR "judicial administration" OR "court administration" OR "judicial management" OR "court management" OR "case management" OR "judicial policy" OR "judicial policies" OR "public policy" OR "public policies" OR "judicial system" OR judiciary OR courts</t>
  </si>
  <si>
    <t>Junshang Duan; Beibei Zhang; 2024; DOI: 10.1057/s41599-024-03809-5</t>
  </si>
  <si>
    <t>Abusive litigation in China: comparative insights and practical approaches for reform</t>
  </si>
  <si>
    <t>Sistema jurídico chinês, em matérias civis e criminais; análise comparativa com soluções do direito inglês e neerlandês</t>
  </si>
  <si>
    <t>Não utiliza IA. Estudo jurídico-comparado e normativo; sem arquitetura computacional implementada</t>
  </si>
  <si>
    <t>Litigância abusiva em causas civis e criminais; ações frívolas/infundadas, uso abusivo do processo, incentivos econômicos e problemas de responsabilização</t>
  </si>
  <si>
    <t>Identifica impactos da litigância abusiva sobre congestionamento judicial, recursos públicos e custos para as partes. Propõe melhor definição dos responsáveis, mecanismos de compensação, controle de incentivos à litigância e aperfeiçoamento da alocação de recursos judiciais e do equilíbrio de poderes no processo penal</t>
  </si>
  <si>
    <t>Estudo predominantemente jurídico-comparado, sem validação empírica ou ferramenta de IA. As propostas dependem do contexto institucional chinês; cautela na transposição para outros sistemas jurídicos</t>
  </si>
  <si>
    <t>F_253</t>
  </si>
  <si>
    <t>Revista Eletrônica de Direito Processual – REDP/UERJ, ano 19, v. 26, n. 2, maio/ago. 2025; artigo fornecido em PDF</t>
  </si>
  <si>
    <t>Marcelo Veiga Franco; Guilherme Costa Leroy; 2025; DOI não identificado no PDF</t>
  </si>
  <si>
    <t>Boa-fé processual e abuso do direito de ação: o assédio processual definido pelo Superior Tribunal de Justiça e outras modalidades estrangeiras de ilícito processual</t>
  </si>
  <si>
    <t>Brasil – Superior Tribunal de Justiça e processo civil brasileiro; comparação com institutos de ordenamentos estrangeiros</t>
  </si>
  <si>
    <t>Não utiliza IA. Pesquisa jurídico-dogmática e comparada</t>
  </si>
  <si>
    <t>Assédio processual; sham litigation; frivolous litigation; vexatious litigation; splitting of causes of action; SLAPP/chilling effect; abuso reiterado do direito de ação</t>
  </si>
  <si>
    <t>Sistematiza modalidades nacionais e estrangeiras de abuso processual e sustenta que a boa-fé processual funciona como fundamento para identificação, contenção e responsabilização de condutas abusivas. Reforça a necessidade de critérios jurídicos para distinguir exercício legítimo do direito de ação de práticas ilícitas</t>
  </si>
  <si>
    <t>Não apresenta aplicação tecnológica, base de dados ou mensuração de desempenho. Contribuição conceitual relevante para taxonomia do abuso processual, mas sua utilidade para detecção automatizada depende de posterior operacionalização dos critérios</t>
  </si>
  <si>
    <t>F_254</t>
  </si>
  <si>
    <t>Revista Jurídica da OAB/SC, v. 4, e032, set. 2024; artigo fornecido em PDF</t>
  </si>
  <si>
    <t>Litigância Predatória ou Fraudulenta. Definição. Características. Meio de Prevenção.</t>
  </si>
  <si>
    <t>https://formularios-corregedoria.cnj.jus.br/index.php?gf-download=2023%2F10%2FNota-Tecnica-n.-01.2023-TJRO.pdf&amp;form-id=57&amp;field-id=9&amp;hash=25293e4dbe7ce7f32eb2affb1a630fd6eced8eeb563e681f31d1b74e0c7e480c</t>
  </si>
  <si>
    <t>Sérgio Laguna Pereira; 2024; DOI: 10.37497/rev.jur.oab-sc.v4i00.32</t>
  </si>
  <si>
    <t>Direito, eficiência e tecnologia: a aplicação da inteligência artificial na litigância de massa contra o Poder Público</t>
  </si>
  <si>
    <t>Advocacia Pública / Poder Público brasileiro; contencioso administrativo e judicial de massa, com menções a tributário, servidores públicos e saúde</t>
  </si>
  <si>
    <t>Jurimetria e análise preditiva; modelos de machine learning discutidos: regressão logística, árvores de decisão e redes neurais; uso de grandes bases de dados para previsão de tendências</t>
  </si>
  <si>
    <t>Litigância de massa e demandas repetitivas contra o Poder Público; padrões e tendências decisórias utilizados para orientar estratégias preventivas</t>
  </si>
  <si>
    <t>Defende o uso de IA e jurimetria para prever resultados, padronizar estratégias, reduzir custos, melhorar alocação de recursos e apoiar políticas preventivas baseadas em dados na Advocacia Pública</t>
  </si>
  <si>
    <t>Pesquisa bibliográfica e indutiva; não demonstra treinamento, teste ou validação de modelo próprio. Os algoritmos são apresentados como possibilidades de aplicação, de modo que os ganhos de eficiência são predominantemente prospectivos</t>
  </si>
  <si>
    <t>F_255</t>
  </si>
  <si>
    <t>civilistica.com, a. 14, n. 3, 2025; artigo fornecido em PDF</t>
  </si>
  <si>
    <t>Pedro Augusto Gregorini; Maria Elisa Cesar Novais; Maria Paula Bertran; 2025; DOI: 10.5281/zenodo.18307524</t>
  </si>
  <si>
    <t>Há “indústria do dano moral” contra os bancos? Tentativa de resposta por meio de análise jurimétrica</t>
  </si>
  <si>
    <t>Tribunal de Justiça de São Paulo (TJSP) – Justiça Comum Estadual; processos cíveis envolvendo Bradesco, Santander e Itaú, com recorte de processos ajuizados em 2019</t>
  </si>
  <si>
    <t>Não emprega IA propriamente dita. Jurimetria, estatística descritiva e ciência de dados; software próprio para coleta/compilação; Excel e Tableau para tratamento e visualização</t>
  </si>
  <si>
    <t>Litigância bancária repetitiva; pedidos de indenização por danos materiais e morais e inclusão indevida em cadastro de inadimplentes; análise de concentração de litigância e resultados</t>
  </si>
  <si>
    <t>A amostra analisada mostra que os bancos figuram como réus recorrentes, mas não confirma uma atuação homogênea ou coordenada dos consumidores que caracterize uma 'indústria do dano moral'. A inclusão indevida em cadastro de inadimplentes aparece como fator relevante para litigância consumerista. O estudo produz indicadores quantitativos úteis à gestão e à compreensão de padrões de demanda</t>
  </si>
  <si>
    <t>Recorte restrito ao TJSP, a três instituições financeiras e a determinado período/assuntos processuais. É estudo quantitativo observacional, sem modelo causal ou IA. Resultados não devem ser generalizados automaticamente para todo o sistema bancário ou Judiciário nacional</t>
  </si>
  <si>
    <t>F_256</t>
  </si>
  <si>
    <t>Revista EJEF, Belo Horizonte, ano 4, n. 7, jul./dez. 2025; artigo fornecido em PDF</t>
  </si>
  <si>
    <t>Maurício Ferreira Cunha; Jhonatta Braga Barros; 2025; DOI não identificado no PDF</t>
  </si>
  <si>
    <t>Litigância abusiva, medidas de combate e a devida interseção com a análise econômica do direito</t>
  </si>
  <si>
    <t>Poder Judiciário brasileiro, com referências ao CNJ, TJMG e STJ; abordagem nacional e institucional</t>
  </si>
  <si>
    <t>Não utiliza IA. Análise jurídico-normativa, econômica e estatística com dados institucionais</t>
  </si>
  <si>
    <t>Litigância abusiva/predatória; ajuizamento reiterado e excessivo; fracionamento de demandas; documentos e procurações suspeitos; ações artificiais ou sem lastro; abuso do direito de ação</t>
  </si>
  <si>
    <t>Relaciona acesso à Justiça, eficiência e duração razoável do processo. Examina dados do Justiça em Números, a Recomendação CNJ 159/2024 e o Tema 1.198/STJ, defendendo medidas específicas diante de indícios concretos de abuso e atuação cooperativa entre os atores do sistema para reduzir custos e congestionamento</t>
  </si>
  <si>
    <t>Não desenvolve método tecnológico de identificação. A caracterização do abuso exige análise contextual e respeito ao acesso à Justiça, evitando que mecanismos de contenção se convertam em barreiras indevidas a demandas legítimas</t>
  </si>
  <si>
    <t>Judicialização predatória</t>
  </si>
  <si>
    <t>https://formularios-corregedoria.cnj.jus.br/index.php?gf-download=2023%2F10%2FTrf2-nota-tecnica-2022-04.pdf&amp;form-id=57&amp;field-id=9&amp;hash=9f2c3236238f6e5a126ccad72aef88cf83ad00c7d7e8fb01f069f2ac082c10b6</t>
  </si>
  <si>
    <t>PA</t>
  </si>
  <si>
    <t>TRT8</t>
  </si>
  <si>
    <t>A Comissão de Inteligência do Tribunal Regional do Trabalho da 8ª Região, em razão da presente análise, com supedâneo na Resolução CSJT n.º 312, de 22 de outubro de 2021 (art. 11, II), deliberou pela aprovação da referida nota técnica para, com o intuito de promover o adequado tratamento à judicialização predatória, sem prejudicar o acesso à Justiça e observando as peculiaridades do processo trabalhista, sugerir que as unidades judiciárias de primeiro e segundo grau adotem as seguintes medidas;bMonitoramento da distribuição de ações: verificar se na unidade judiciária tramitam ações protocoladas em massa, com utilização de petições padronizadas e genéricas, sem especificação e detalhamento do caso, de forma a inviabilizar o exercício do contraditório e da ampla defesa. uma vez identificado processo com indícios da prática de judicialização predatória, fazer uso das etiquetas virtuais disponíveis no sistema Pje, apontando as características e outros aspectos que entendam relevantes.Adoção de cautelas nos processos: não homologar acordo antes da audiência inaugural;Comunicação à Comissão Regional de Inteligência comunicar à Comissão Regional de Inteligência quando detectar possível prática de demanda predatória, informando as características identificadas a fim de permitir a investigação em outras unidades judiciárias, bem como eventuais decisões já proferidas pelo Juízo, principalmente aquelas em que houve aplicação de penalidade processual à parte que praticou a litigância predatória.Comunicação à OAB e ao MPT: a comunicação deve ser realizada pelas unidades de primeiro e segundo graus. Aplicação de penalidades processuais avaliar se a situação enseja a aplicação das sanções previstas para a litigância de má-fé, na forma dos artigos 79 a 81 do Código de Processo Civil;</t>
  </si>
  <si>
    <t>https://formularios-corregedoria.cnj.jus.br/index.php?gf-download=2024%2F01%2FNOTA-TECNICA-No-4-2023-Tratamento-de-demandas-predatorias.pdf&amp;form-id=57&amp;field-id=9&amp;hash=447390395cbb65219091d5138b675a3d57d6a3a100b84919eff85f9f0025561f</t>
  </si>
  <si>
    <t>CLIES nº 02/2025</t>
  </si>
  <si>
    <t>&lt;strong&gt;NOTA TÉCNICA CLIES nº 02/2025. Centro Local de Inteligência da Seção Judiciária do Espírito Santo (CLIES). Demandas repetitivas. Restituição de contribuições previdenciárias calculadas sobre valor excedente ao teto do RGPS. Utilização exclusiva do extrato do CNIS como prova de retenção indevida. Insuficiência do documento. Medidas de gestão da litigiosidade.&lt;/strong&gt;</t>
  </si>
  <si>
    <t>https://formularios-corregedoria.cnj.jus.br/index.php?gf-download=2026%2F02%2FSEI_1436460_Nota_Tecnica.pdf&amp;form-id=57&amp;field-id=9&amp;hash=09049ae1bc3459e03328ee53f1f742f9a7dabcf1173190c27206a8a0ad5355db</t>
  </si>
  <si>
    <t>Estudo sobre possíveis ações administrativas para conter o avanço do protocolo de novas ações que questionam a inconstitucionalidade da Lei Federal n.º 13.954/2019.</t>
  </si>
  <si>
    <t>https://formularios-corregedoria.cnj.jus.br/index.php?gf-download=2025%2F04%2FNota_Tecnica_No_11_-_CINUGEP.TJTO.pdf&amp;form-id=57&amp;field-id=9&amp;hash=543c2687534e23f0fc53b47635917c1e56693cf10e73e6f722f5ac3defa3b0e8</t>
  </si>
  <si>
    <t>&lt;div class="page" title="Page 1"&gt;
 &lt;div class="section"&gt;
 &lt;div class="layoutArea"&gt;
 &lt;div class="column"&gt;
 Sugere rotinas e medidas a serem adotadas por magistrados, servidores e usuários externos para combater e coibir tentativa de escolha de juízo ou Gabinete de Desembargador no ato de distribuição das demandas.
 &lt;/div&gt;
 &lt;/div&gt;
 &lt;/div&gt;
 &lt;/div&gt;</t>
  </si>
  <si>
    <t>https://formularios-corregedoria.cnj.jus.br/index.php?gf-download=2024%2F06%2FNota-Tecnica-Centro-de-Inteligencia-09-2024.pdf&amp;form-id=57&amp;field-id=9&amp;hash=f1e76763ddc22c8f38f1949963d05845383e98e4dbca474557cec0d369c27a9c</t>
  </si>
  <si>
    <t>Sugestão para Afetação de tema de Recursos Repetitivos que versem sobre a legitimidade do FNDE para compor o polo passivo das ações que discutem o salário-educação.</t>
  </si>
  <si>
    <t>https://formularios-corregedoria.cnj.jus.br/index.php?gf-download=2025%2F11%2F1-NT-01-2019.pdf&amp;form-id=57&amp;field-id=9&amp;hash=1a27ac1bd3805dd9817077ee8e7aedbd41eaed2544e9a3bec3ee5da3a4dc75f3</t>
  </si>
  <si>
    <t>F_141</t>
  </si>
  <si>
    <t>M.V. Franco; G.C. Leroy (2025). DOI: 10.12957/redp.2025.91581</t>
  </si>
  <si>
    <t>Procedural Good Faith and Abuse of the Right of Action: Procedural Harassment Defined by the Superior Court of Justice and Other Foreign Modalities of Procedural Wrongdoings (Boa-fé Processual e Abuso do Direito de Ação: o Assédio Processual Definido pelo Superior Tribunal de Justiça e Outras Modalidades Estrangeiras de Ilícito Processual)</t>
  </si>
  <si>
    <t>Superior Tribunal de Justiça (STJ), com análise do conceito de assédio processual e comparação com institutos estrangeiros de repressão ao abuso do direito de ação.</t>
  </si>
  <si>
    <t>Não informado pelo estudo. Não utiliza Inteligência Artificial nem arquitetura computacional. O estudo desenvolve análise dogmática sobre boa-fé processual e abuso do direito de ação.</t>
  </si>
  <si>
    <t>Analisa diversas modalidades de abuso processual, incluindo assédio processual, sham litigation, frivolous litigation, vexatious litigation, fracionamento artificial de demandas (splitting of causes of action), flood or bury in documents, SLAPP (Strategic Lawsuit Against Public Participation) e táticas de guerrilha em arbitragem internacional.</t>
  </si>
  <si>
    <t>Demonstra que a boa-fé processual constitui norma fundamental do processo civil brasileiro e que a repressão às diversas modalidades de abuso exige aperfeiçoamento contínuo do sistema jurídico nacional, mediante identificação das condutas abusivas e estruturação de mecanismos específicos para impedir o exercício abusivo do direito de ação.</t>
  </si>
  <si>
    <t>Estudo teórico-comparado fundamentado na legislação brasileira e estrangeira. Não apresenta validação empírica nem aplicação de IA. Contribui significativamente para a construção conceitual das diversas modalidades de litigância abusiva. Exportação Scopus indica 0 citações.</t>
  </si>
  <si>
    <t>TJMG</t>
  </si>
  <si>
    <t>10/2023 do Centro de Inteligência da Justiça de Minas Gerais</t>
  </si>
  <si>
    <t>Abordar a temática do ajuizamento consistente de ações de busca e apreensão de bens alienados fiduciariamente, sem o prévio pagamento das custas processuais, de modo que, posteriormente, tais demandas são objeto de extinção/cancelamento de distribuição do feito. Assim, este documento busca estabelecer diretrizes destinadas a proporcionar maior uniformidade e eficácia nas decisões judiciais relacionadas a esses casos, otimizando o entendimento de exigibilidade do adimplemento de custas processuais nos casos de desistência, considerando a competência estadual para dispor acerca das taxas concernentes às prestações de serviços judiciais.&lt;/li&gt;
 &lt;/ul&gt;</t>
  </si>
  <si>
    <t>https://formularios-corregedoria.cnj.jus.br/index.php?gf-download=2024%2F01%2FNota-Tecnica-10-CIMG-3.pdf&amp;form-id=57&amp;field-id=9&amp;hash=1352b7d1032a7f755257ba4137e4dd51261b2331c517da914ed7fd9582a6a6b8</t>
  </si>
  <si>
    <t>F_143</t>
  </si>
  <si>
    <t>"fracionamento artificial de demandas"</t>
  </si>
  <si>
    <t>L. de Quadros; C. Becker Isaia (2026). DOI: 10.12957/redp.2026.93760</t>
  </si>
  <si>
    <t>Was Effectiveness Only a Promise? How Institutional "Haste" May Have Driven Jurisdiction Down Troubled Paths and Led Civil Procedure to the Crossroads Between Productivity and the Realization of Rights (A Efetividade Era Só uma Promessa? Como a Pressa Institucional Pode Ter Conduzido a Jurisdição por Caminhos Tortuosos e Levado o Processo Civil à Encruzilhada entre Produtividade e Concretização de Direitos)</t>
  </si>
  <si>
    <t>Poder Judiciário Brasileiro, com enfoque nas reformas legislativas e administrativas do processo civil e seus impactos sobre a prestação jurisdicional.</t>
  </si>
  <si>
    <t>Não informado pelo estudo. O artigo não utiliza Inteligência Artificial nem apresenta arquitetura computacional. Desenvolve análise crítica sobre gestão judicial, eficiência e efetividade da jurisdição.</t>
  </si>
  <si>
    <t>Não trata de litigância abusiva nem de fracionamento artificial de demandas. Analisa o aumento da litigiosidade estrutural e a tensão entre produtividade judicial e concretização dos direitos fundamentais, criticando a racionalidade gerencial orientada por metas quantitativas.</t>
  </si>
  <si>
    <t>Conclui que a constitucionalização do processo civil ampliou as garantias democráticas, porém a lógica produtivista do Judiciário restringe a participação das partes, reduz a escuta judicial e privilegia indicadores quantitativos sem enfrentar as causas estruturais da litigiosidade. Defende que a eficiência somente se legitima quando subordinada à efetividade da tutela jurisdicional e à concretização dos direitos fundamentais.</t>
  </si>
  <si>
    <t>Estudo crítico, teórico e dogmático. Não realiza validação empírica, mineração de dados ou aplicação de IA. Embora tenha sido recuperado pela estratégia de busca, não aborda o fracionamento artificial de demandas, nem desenvolve metodologia para identificação de litigância abusiva. Exportação Scopus informa 0 citações.</t>
  </si>
  <si>
    <t>Indeferimento do Seguro Desemprego. Sócio de empresa que se encontra atualmente inativa. Ausência de renda própria de qualquer natureza suficiente à sua manutenção e de sua família.</t>
  </si>
  <si>
    <t>https://formularios-corregedoria.cnj.jus.br/index.php?gf-download=2025%2F11%2F2-NT-02-2019.pdf&amp;form-id=57&amp;field-id=9&amp;hash=cfaf894f46e02148967efdd215eaae5ed9a47c11527d7a93644a53c8edd8a8f9</t>
  </si>
  <si>
    <t>Antecipação da prova nas ações sobre vícios de construção no Programa Minha Casa Minha Vida – Faixa1.</t>
  </si>
  <si>
    <t>https://formularios-corregedoria.cnj.jus.br/index.php?gf-download=2023%2F10%2FNOTA-T-05.2022.pdf&amp;form-id=57&amp;field-id=9&amp;hash=94ff93cc6626d2f988c0cbc31e518dace28e03c2366387fedcbacd8294300e10</t>
  </si>
  <si>
    <t>14/2025</t>
  </si>
  <si>
    <t>Orientações sobre a forma correta e eficiente de utilização das “prioridades” (a) infância e juventude, (b) destituição de poder familiar, (c) adoção e (d) Primeira Infância, cadastradas no Sistema PROJUDI, por Gabinetes e Serventias.</t>
  </si>
  <si>
    <t>https://formularios-corregedoria.cnj.jus.br/index.php?gf-download=2025%2F06%2FNotaTecnica_14_2025.pdf&amp;form-id=57&amp;field-id=9&amp;hash=01698d1fb158ff1b81ccc8d882f3a636745ba7f4404c8f8a25aa087d19b050ad</t>
  </si>
  <si>
    <t>Nota Técnica nº 2/2025. Conjunta. Centro Local de Inteligência da Seção Judiciária do Rio de Janeiro (CLIP/SJRJ) e Centro de Inteligência do TRF2. Litigância abusiva. Recomendação nº 159 do CNJ. Ações judiciais em que se discutem vícios de construção em imóveis do programa Minha Casa, Minha Vida. Panorama da situação no âmbito da 2ª Região. Análise aprofundada da Subseção de São Gonçalo/RJ que concentra o maior número de casos. Compatibilização das peculiaridades regionais com a Recomendação CJF nº 24/2024, que orienta a adoção de fluxo processual na referida matéria e a padronização de quesitos. Encaminhamentos para o aprimoramento da gestão de tais tipos de demanda e eventual identificação de casos de litigância abusiva.&lt;/p&gt;</t>
  </si>
  <si>
    <t>https://formularios-corregedoria.cnj.jus.br/index.php?gf-download=2025%2F06%2Fsei_0800007_nota_tecnica_no_2-2025_-_clip_sjrj.pdf&amp;form-id=57&amp;field-id=9&amp;hash=e62474d4cf0194d6f9467375eed8b801c323c646040b9a09db9e04cf004d2411</t>
  </si>
  <si>
    <t>Causas repetitivas. Mecanismos de gestão eficiente e prevenção de risco de decisões conflitantes. Conexão e cooperação entre juízes de mesma competência. Adesão à Nota Técnica nº 07/2023-CIJ/RN com adequação de alguns pontos, considerando o que tem sido vivenciado no Poder Judiciário do Estado da Bahia.</t>
  </si>
  <si>
    <t>https://formularios-corregedoria.cnj.jus.br/index.php?gf-download=2023%2F10%2FNota-tecnica-PN-011.2023-adesao-NT-n.-07.2023-CIJRN.pdf&amp;form-id=57&amp;field-id=9&amp;hash=c15871f304715056aca3d8012d04a8fef61849bd103857d1444e6b4345fb8f9f</t>
  </si>
  <si>
    <t>TRT1</t>
  </si>
  <si>
    <t>&lt;strong&gt;Nota técnica estabelecendo protocolos de detecção, prevenção e combate às litigâncias predatórias no âmbito do Tribunal Regional do Trabalho da 1ª Região.&lt;/strong&gt;</t>
  </si>
  <si>
    <t>https://formularios-corregedoria.cnj.jus.br/index.php?gf-download=2023%2F12%2FNT19_CI_TRT1_Litigancia-Predatoria.pdf&amp;form-id=57&amp;field-id=9&amp;hash=9c2fc971e63e1a4e2024a8edf81ffe685b94f6d6108842f3aef8ba501e867ea7</t>
  </si>
  <si>
    <t>TRT4</t>
  </si>
  <si>
    <t>Análise sobre efeitos da parte litigar contrariamente a precedente qualificado, sem prévia alerta à Corte e sem demonstração de distinção, de superação da tese ou de apresentação de argumento novo, não utilizado na formação do precedente.</t>
  </si>
  <si>
    <t>https://formularios-corregedoria.cnj.jus.br/index.php?gf-download=2024%2F05%2FNOTA-TECNICA-CI.TRT4-No-02-DE-15-DE-FEVEREIRO-DE-2024.pdf&amp;form-id=57&amp;field-id=9&amp;hash=a188b8388441d00a87924784db147c71aa5bb68eb23f817cd8f3d8fdcfff8dc3</t>
  </si>
  <si>
    <t>NOTA TÉCNICA Nº 01/2025</t>
  </si>
  <si>
    <t>Propõe a adoção de medidas para identificar e coibir a litigância abusiva decorrente da inclusão indevida de pedidos de indenização por danos morais no valor da causa de ações previdenciárias, visando a preservação da competência dos Juizados Especiais Federais e o efetivo acesso à justiça.</t>
  </si>
  <si>
    <t>https://formularios-corregedoria.cnj.jus.br/index.php?gf-download=2025%2F05%2Fjbc12_nota-tecnica-001-dano-moral.pdf&amp;form-id=57&amp;field-id=9&amp;hash=d763c936b07465a002835ee589b20bc8098ed6b4655d0a7b1824ffacd0765fd2</t>
  </si>
  <si>
    <t>Ratificar as notas técnicas emitidas por
 Centros de Inteligência, setores e
 grupos especiais de diversos tribunais,
 com a compilação e unificação de
 todos os dados e informações nela
 contidos, bem como o acréscimo das
 informações e estratégias construídas
 no âmbito do TJMG, inclusive no que
 se refere a boas práticas
 potencialmente eficazes para
 prevenção e enfrentamento do abuso
 do direto de ação.</t>
  </si>
  <si>
    <t>https://formularios-corregedoria.cnj.jus.br/index.php?gf-download=2023%2F10%2FNOTA-TECNICA-01.2022-LITIGANCIA-PREDATORIA-1.pdf&amp;form-id=57&amp;field-id=9&amp;hash=5b22113a24d60b3cfda6a07b23b5d32420a70a6a1079fc6ffd30d837b5f318cc</t>
  </si>
  <si>
    <t>MT</t>
  </si>
  <si>
    <t>TJMT</t>
  </si>
  <si>
    <t>Trata-se de Nota Técnica apresentada pelo Grupo de Trabalho instituído pela Portaria n. 026/2021-CGJ/TJMT, com a finalidade de tratar do tema demandas predatórias e fraudulentas. O Grupo de Trabalho realizou levantamento de dados estatísticos e ouviu representantes dos principais seguimentos relacionados ao núcleo de litigiosidade serial. Ao final do trabalho, foram reunidas evidências que permitiram melhor compreender o fenômeno da litigiosidade serial, a partir do que foram propostas medidas para identificação e tratamento da parcela das lides consideradas predatórias ou fraudulentas.</t>
  </si>
  <si>
    <t>https://formularios-corregedoria.cnj.jus.br/index.php?gf-download=2023%2F11%2FNota_Tecnica_NUMOPEDE_Prov_26_2021_CGJ.pdf&amp;form-id=57&amp;field-id=9&amp;hash=3e9f53e877dbe4659b6b1481174715b551094e25e3a0c64736ac5188a114447b</t>
  </si>
  <si>
    <t>Adesão à Nota Técnica nº 03/2022, do Centro de Inteligência da Justiça de Minas Gerais (CIJMG), a qual trata sobre a “possibilidade de condenação por litigância de má-fé quando se demandar contra precedente qualificado sem demonstração de distinção ou superação da tese ou sem sustentação de argumento novo , não considerado na formação da ratio decidendi”.</t>
  </si>
  <si>
    <t>https://formularios-corregedoria.cnj.jus.br/index.php?gf-download=2024%2F12%2FNota-Tecnica-no-02.2024-adesao-a-NT-n.-03.2022-do-CIJMG.pdf&amp;form-id=57&amp;field-id=9&amp;hash=56b9193a4abb9851469e5d7acec78e55d0f811d4611dedd408919a6a30d55557</t>
  </si>
  <si>
    <t>SE</t>
  </si>
  <si>
    <t>TJSE</t>
  </si>
  <si>
    <t>MEDIDAS PROCESSUAIS E EXTRAPROCESSUAIS ADOTADAS NO ÂMBITO DO TJSE PARA COIBIR DEMANDAS PREDATÓRIAS.</t>
  </si>
  <si>
    <t>https://formularios-corregedoria.cnj.jus.br/index.php?gf-download=2023%2F10%2FNota-Tecnica-n.-01.2022-TJSE.pdf&amp;form-id=57&amp;field-id=9&amp;hash=ee595e01a1daeb8b0c51904ee35d27b793b7dd43a970b5f6a411bd04bce78dc0</t>
  </si>
  <si>
    <t>F_165</t>
  </si>
  <si>
    <t>Ewerton Luiz Chaves Carminati (2025). DOI: 10.12957/redp.2025.*(DOI completo não consta nas páginas disponibilizadas do artigo).</t>
  </si>
  <si>
    <t>Poder Judiciário Brasileiro, com análise da aplicação da Resolução CNJ nº 615/2025 e da Recomendação CNJ nº 159/2024 na utilização de IA para identificação de litigância abusiva.</t>
  </si>
  <si>
    <t>Conceitua a litigância abusiva como o exercício do direito de ação além de seus fins legítimos, adotando como referência a Recomendação CNJ nº 159/2024. Destaca como espécies: demandas sem lastro, temerárias, artificiais, procrastinatórias, frívolas, fraudulentas, desnecessariamente fracionadas, assédio processual, violação ao dever de mitigação de prejuízos e litigância predatória. Defende que a IA deve identificar padrões objetivos de comportamento, e não perfis pessoais dos litigantes.</t>
  </si>
  <si>
    <t>TJSC</t>
  </si>
  <si>
    <t>F_166</t>
  </si>
  <si>
    <t>Litigância predatória: estratégias para identificação e enfrentamento</t>
  </si>
  <si>
    <t>https://formularios-corregedoria.cnj.jus.br/index.php?gf-download=2023%2F10%2FNOTA-TECNICA-02-2022.pdf&amp;form-id=57&amp;field-id=9&amp;hash=0bb4ef0c1467662aa22770978f640006bf0b7988b4dbf881997a8001d42a1364</t>
  </si>
  <si>
    <t>Laura Cavalcante Barbosa; Angélica Cristina Bezerra de Melo; Valkíria Malta Gaia Ferreira; Maria Izabel Ferreira dos Santos (2025). DOI: Não informado pelo estudo.</t>
  </si>
  <si>
    <t>MULTA -LITIGÂNCIA DE MÁ FÉ - DEMANDAS PREDATÓRIAS</t>
  </si>
  <si>
    <t>https://formularios-corregedoria.cnj.jus.br/index.php?gf-download=2023%2F10%2FNota-Tecnica-n.-02.2022-TJSE.pdf&amp;form-id=57&amp;field-id=9&amp;hash=1c78b0884b53818326e158a7b8d23b1633338c58e834c81881653aefeb303540</t>
  </si>
  <si>
    <t>Sugestão aos magistrados e magistradas do Estado de Goiás de dispensa de produção de prova oral, sempre que possível, e quando
 necessário, realização de audiência por videoconferência, preferencialmente com vistas a imprimir maior agilidade e eficiência à prestação jurisdicional, aplicando-se as disposições da Resolução CNJ 465/2022 e dos Provimentos/CGJ 18/2020 (com as alterações promovidas pelos Provimentos 28/2020 e 70/2021).</t>
  </si>
  <si>
    <t>https://formularios-corregedoria.cnj.jus.br/index.php?gf-download=2025%2F06%2FNotaTecnica_032022.pdf&amp;form-id=57&amp;field-id=9&amp;hash=74aaa04473cf1ff8d75b9436800998f57bbf9d043060f7a5aa9d20e9795befe5</t>
  </si>
  <si>
    <t>F_170</t>
  </si>
  <si>
    <t>Scopus / Revista de Investigações Constitucionais
 https://www.scielo.br/j/rinc/a/qRC4TmVXVDJ8Wkv7Ns49jxH/?format=html&amp;lang=pt</t>
  </si>
  <si>
    <t>Cláudia Toledo; Daniel Alves Pessoa (2023)
 DOI: 10.5380/rinc.v10i1.86319</t>
  </si>
  <si>
    <t>O uso de inteligência artificial na tomada de decisão judicial</t>
  </si>
  <si>
    <t>Poder Judiciário brasileiro e sistemas de IA utilizados ou desenvolvidos por tribunais nacionais.</t>
  </si>
  <si>
    <t>Sistemas de inteligência artificial aplicados como apoio ou como instrumentos de tomada de decisão judicial. O estudo discute processamento de dados, algoritmos, opacidade e vieses, sem apresentar arquitetura computacional própria.</t>
  </si>
  <si>
    <t>Não informado pelo estudo. Não investiga litigância abusiva, litigância repetitiva ou perfilamento de litigantes.</t>
  </si>
  <si>
    <t>Apresenta análise crítica do estado da arte da IA no Judiciário brasileiro. Identifica incompatibilidades entre a padronização algorítmica e a individualização exigida pelo Direito, incapacidade da IA de realizar juízos de valor, risco de ampliação de vieses e falta de transparência sobre algoritmos e dados.</t>
  </si>
  <si>
    <t>Os autores apontam opacidade algorítmica, vieses cognitivos, insuficiência de transparência e incompatibilidade estrutural entre processamento de dados e aplicação individualizada do Direito. Em relação ao MSL, não aplica análise de dados à identificação de litigiosidade abusiva.</t>
  </si>
  <si>
    <t>TJPA</t>
  </si>
  <si>
    <t>Nº06/2022</t>
  </si>
  <si>
    <t>Adesão à Nota Técnica nº 01/2022 do Centro de Inteligência da Justiça de Minas Gerais –CIJMG, que compila e unifica dados e informações das notas técnicas emitidas por outros tribunais e acrescenta informações e estratégias construídas no âmbito do TJMG, inclusive no que se refere a boas práticas potencialmente eficazes para prevenção e enfrentamento do abuso de ireito de ação</t>
  </si>
  <si>
    <t>https://formularios-corregedoria.cnj.jus.br/index.php?gf-download=2023%2F11%2FNota-Tecnica-No06-2022-CIJEPA.pdf&amp;form-id=57&amp;field-id=9&amp;hash=d8cf7814d6aeec1f67911d8da24eb29966a170872933df4ca1e6cbd223a30a73</t>
  </si>
  <si>
    <t>A presente proposta de edição de Nota Técnica, do Centro de Inteligência do Tribunal de Justiça do Estado do Rio de Janeiro, tem
 por escopo implementar mecanismos para coibir a judicialização abusiva, definida pelo Conselho Nacional de Justiça como o &lt;em&gt;“desvio ou manifesto excesso dos limites impostos pela finalidade social, jurídica, política e/ou econômica do direito de acesso ao Poder Judiciário, inclusive no polo passivo, comprometendo a capacidade de prestação jurisdicional e o acesso à Justiça”. &lt;/em&gt;</t>
  </si>
  <si>
    <t>https://formularios-corregedoria.cnj.jus.br/index.php?gf-download=2026%2F03%2FNota-Tecnica-n.-5-2025.pdf&amp;form-id=57&amp;field-id=9&amp;hash=a93d48968e2ced1b9a4006cbe37ae71db5e627d90d420c58b4733ad8567f1f8f</t>
  </si>
  <si>
    <t>https://formularios-corregedoria.cnj.jus.br/index.php?gf-download=2026%2F03%2FNota-Tecnica-n.-7-2025.pdf&amp;form-id=57&amp;field-id=9&amp;hash=54081a99db558730051bdcc67f11f17ea6a1149ce92faeda86f0d9d74339972b</t>
  </si>
  <si>
    <t>https://formularios-corregedoria.cnj.jus.br/index.php?gf-download=2026%2F03%2FNota-Tecnica-n.-7-20251.pdf&amp;form-id=57&amp;field-id=9&amp;hash=af995f7fbbb3384d6dc75840c2703ba8a3474af23e63debef24c51f1fc1f66e4</t>
  </si>
  <si>
    <t>A presente proposta de edição de Nota Técnica, do Centro de Inteligência do Tribunal de Justiça do Estado do Rio de Janeiro, tem
 por escopo implementar mecanismos para coibir a judicialização predatória, entendida segundo o Conselho Nacional de Justiça,
 como o ajuizamento em massa em território nacional de ações com pedido e causa de pedir semelhantes em face de uma pessoa ou
 de um grupo específico de pessoas.</t>
  </si>
  <si>
    <t>https://formularios-corregedoria.cnj.jus.br/index.php?gf-download=2026%2F03%2FNota-Tecnica-n.-6-2025.pdf&amp;form-id=57&amp;field-id=9&amp;hash=ef44b20d79fdf7a0ba23907892463916a979fa5b0e1a0d466ffaf451913b4dd3</t>
  </si>
  <si>
    <t>https://formularios-corregedoria.cnj.jus.br/index.php?gf-download=2026%2F03%2FNota-Tecnica-n.-8-2025.pdf&amp;form-id=57&amp;field-id=9&amp;hash=12f07936665ba5d8ad50989b985222b1853219da8e931f9037afcc0fae6da463</t>
  </si>
  <si>
    <t>F_181</t>
  </si>
  <si>
    <t>Scopus (Revista de Estudos Empíricos em Direito)</t>
  </si>
  <si>
    <t>Larissa Gaspar Tunala; João Eberhardt Francisco (2025). DOI: 10.19092/reed.v12.956</t>
  </si>
  <si>
    <t>Litigância predatória, filtro da procuração com firma reconhecida e acesso à justiça</t>
  </si>
  <si>
    <t>Tribunal de Justiça do Estado de São Paulo — 1º semestre de 2023; referência ao Tema 1.198 do STJ</t>
  </si>
  <si>
    <t>Não utiliza IA. Estudo empírico de dados sobre aplicação e repercussões do filtro judicial da procuração com firma reconhecida.</t>
  </si>
  <si>
    <t>Litigância predatória. Padrão/filtro analisado: exigência de procuração com firma reconhecida para aferir autenticidade e consentimento na representação processual.</t>
  </si>
  <si>
    <t>Aponta deficiências na condução do fenômeno e no Tema 1.198/STJ; propõe verificar o consentimento informado do litigante ao outorgar poderes, conciliando prevenção do abuso e acesso à justiça.</t>
  </si>
  <si>
    <t>Único artigo da seleção diretamente aderente à litigância abusiva. Recorte temporal e institucional restrito ao TJSP; filtro pode impor barreira desproporcional e excluir demandas legítimas. Não envolve classificação automatizada. Fonte: https://doi.org/10.19092/reed.v12.956</t>
  </si>
  <si>
    <t>Alerta sobre a existência de múltiplos processos executórios contra a Fazenda Pública com o mesmo objeto, favorecendo a mesma parte exequente.</t>
  </si>
  <si>
    <t>https://formularios-corregedoria.cnj.jus.br/index.php?gf-download=2025%2F04%2FNota-Tecnica-7.pdf&amp;form-id=57&amp;field-id=9&amp;hash=a44a62c98c3002fd99bc8bcfed37fd9fe0435691aa9a1425f3e553fdbd8464d8</t>
  </si>
  <si>
    <t>Propõe que seja definida competência para processar e julgar processos em que Fazenda Pública Estadual ou Municipal, suas autarquias ou fundações sejam parte ou interessada e recomenda aos magistrados que não acolherem a competência declinada, que aprecie os pedidos liminares urgentes que impliquem risco imediato de vida ou de lesões irreparáveis para o paciente, salvaguardando a saúde do demandante.</t>
  </si>
  <si>
    <t>https://formularios-corregedoria.cnj.jus.br/index.php?gf-download=2025%2F04%2FNota-Tecnica-6.pdf&amp;form-id=57&amp;field-id=9&amp;hash=264521dfc473a8723d13050be22db36fae6878045988022cd67d2e3ca5bc4292</t>
  </si>
  <si>
    <t>Medidas de desjudicialização das ações de vícios construtivos.</t>
  </si>
  <si>
    <t>https://formularios-corregedoria.cnj.jus.br/index.php?gf-download=2025%2F11%2F5-NT-05-2020.pdf&amp;form-id=57&amp;field-id=9&amp;hash=eadd32de776f4451c95a91135e90360d8a9e5257bd03ea332a9cecee274f852d</t>
  </si>
  <si>
    <t>Fracionamento de ações entre mais de um estado da federação: proposição ao CIPJ de afetação do tema</t>
  </si>
  <si>
    <t>https://formularios-corregedoria.cnj.jus.br/index.php?gf-download=2023%2F10%2FCIJESC-Nota-Tecnica-n.-06-2023.pdf&amp;form-id=57&amp;field-id=9&amp;hash=8530229a2376eb3ab4bffbd72c9268e33161f4fc8ee069c011777f36996087c9</t>
  </si>
  <si>
    <t>Litigância Predatória. Sanções Processuais. Condutas abusivas. Má-fé processual. Recomendação CNJ n.º 159/2024.</t>
  </si>
  <si>
    <t>https://formularios-corregedoria.cnj.jus.br/index.php?gf-download=2026%2F03%2FNOTA-TECNICA-No-11-2025-Litigancia-Predatoria-e-Sancoes.pdf&amp;form-id=57&amp;field-id=9&amp;hash=5053b47b0bc5f8f2a1ad98ff744c8251e19e9c95e1290d80099052d795847051</t>
  </si>
  <si>
    <t>Abordagem de possíveis fraudes à execução de título extrajudicial e recomendação de medidas de gestão aos magistrados com vistas a evitar a lesão a direitos de terceiros. a garantir a segurança jurídica e a credibilidade do Poder Judiciário.</t>
  </si>
  <si>
    <t>https://formularios-corregedoria.cnj.jus.br/index.php?gf-download=2025%2F06%2FNotaTecnica_022022.pdf&amp;form-id=57&amp;field-id=9&amp;hash=bd90051ec1ce6fb11d0035cbefc3cb05c97257b4eb9d7738b5d0b04a91b8421d</t>
  </si>
  <si>
    <t>F_193</t>
  </si>
  <si>
    <t>Carminati, Ewerton Luiz Chaves. 2025.</t>
  </si>
  <si>
    <t>Algoritmos de inteligência artificial voltados para detectar padrões de litigância abusiva</t>
  </si>
  <si>
    <t>Litigância abusiva com foco em riscos de enviesamento discriminatório</t>
  </si>
  <si>
    <t>Aponte os desafios e a necessidade de cautela metodológica frente ao viés algorítmico no uso institucional.</t>
  </si>
  <si>
    <t>Necessidade de atenção aos riscos de discriminação algorítmica.</t>
  </si>
  <si>
    <t>F_194</t>
  </si>
  <si>
    <t>Barbosa, L. C.; Melo, A. C. B.; Ferreira, V. M. G. 2025.</t>
  </si>
  <si>
    <t>O Uso da Inteligência Artificial no Combate à Litigância Abusiva: Experiências do Tribunal de Justiça de Alagoas</t>
  </si>
  <si>
    <t>Ferramentas de inteligência artificial aplicadas à triagem e análise processual</t>
  </si>
  <si>
    <t>Litigância abusiva e predatória com foco na atuação institucional prática</t>
  </si>
  <si>
    <t>Demonstra a viabilidade e a segurança de caminhos estratégicos e éticos para fortalecer o combate à litigância abusiva no âmbito do tribunal.</t>
  </si>
  <si>
    <t>Estudo de caso empírico/prático focado em tribunal estadual.</t>
  </si>
  <si>
    <t>Identificação de demandas predatórias e sugestão de adesão à Nota Técnica 01/2022
 do Centro de Inteligência do Tribunal de Justiça de Mato Grosso do Sul (CIJEMS) e Nota
 Técnica apresentada pelo Grupo de Trabalho do Tribunal de Justiça do Mato Grosso (instituído
 pela Portaria 026/2021-CGJ/TJMT). Parecer conclusivo do Expediente TJ-COI-2022/05304.</t>
  </si>
  <si>
    <t>https://formularios-corregedoria.cnj.jus.br/index.php?gf-download=2023%2F10%2FNota-Tecnica-n.-06.2022-TJBA.pdf&amp;form-id=57&amp;field-id=9&amp;hash=4c4acd03d20b1a98081ba5a8512011df502a8bf84f495ebed916cfefed566caa</t>
  </si>
  <si>
    <t>Uso predatório da jurisdição. Análise dos casos selecionados pelo
 Centro de Inteligência. Nota Técnica nº 01 do NUCOF/TJBA de 2021.
 Conclusões a partir da Nota Técnica do NUCOF e dos conceitos essenciais.
 Boas práticas para identificação das demandas predatórias e fraudulentas:
 elementos identificadores referentes às partes; elementos identificadores
 referentes à demanda e ao procedimento. Boas práticas para a prevenção,
 repressão e inibição de demandas predatórias e fraudulentas.</t>
  </si>
  <si>
    <t>https://formularios-corregedoria.cnj.jus.br/index.php?gf-download=2023%2F10%2FNota-Tecnica-n.-08.2022-TJBA.pdf&amp;form-id=57&amp;field-id=9&amp;hash=97f0459c6774db8901aa06aa0b7b8aba2218a75dd93dae5a113ae99ae6001bdb</t>
  </si>
  <si>
    <t>TRT2</t>
  </si>
  <si>
    <t>Adoção de critérios sobre litigância predatória no âmbito do Tribunal Regional do Trabalho da 2. Região.
 [&lt;em&gt;Acesso no endereço eletrônico: https://basis.trt2.jus.br/handle/123456789/16363&lt;/em&gt; ]</t>
  </si>
  <si>
    <t>https://formularios-corregedoria.cnj.jus.br/index.php?gf-download=2024%2F11%2FNota-tecnica7.pdf&amp;form-id=57&amp;field-id=9&amp;hash=6d1d37a52e7fc022dcc22e9662e82f8890199a546878020e462bf0b68800148f</t>
  </si>
  <si>
    <t>001/2024</t>
  </si>
  <si>
    <t>Trata-se de nota técnica emitida pelo Centro de Inteligência do Tribunal Regional do Trabalho da 15ª Região que propõe medidas para combater a litigância predatória. A nota define o fenômeno, apresenta suas características e sugere diretrizes para identificar, prevenir e combater práticas abusivas no sistema judiciário trabalhista. Baseada em uma pesquisa com magistrados e servidores, a nota propõe um protocolo de monitoramento e tratamento de casos, recomenda o registro das denúncias no PROAD. A nota visa promover uma cultura de litigância responsável e ética, resguardando os direitos das partes e a integridade do sistema judiciário.</t>
  </si>
  <si>
    <t>https://formularios-corregedoria.cnj.jus.br/index.php?gf-download=2024%2F05%2FNT001-2024.pdf&amp;form-id=57&amp;field-id=9&amp;hash=5a1266763ddd6362cc5fa959d8bf306705a2c806537af0e9222fb0fc31ca063e</t>
  </si>
  <si>
    <t>Orientações de medidas a serem adotadas para as hipóteses de exibição de documento novo ou superveniente no compartilhamento de tela nas sessões e audiências por videoconferência.</t>
  </si>
  <si>
    <t>https://formularios-corregedoria.cnj.jus.br/index.php?gf-download=2024%2F06%2FNota-Tecnica-Centro-de-Inteligencia-08-2024.pdf&amp;form-id=57&amp;field-id=9&amp;hash=2e1e171655b51e4e83abcd312179fef83bfc6470837a721ebdb2f5ae0ece769e</t>
  </si>
  <si>
    <t>Orientações de medidas a serem adotadas por servidores e magistrados para combater o uso indevido da prerrogativa do “segredo de justiça”.</t>
  </si>
  <si>
    <t>https://formularios-corregedoria.cnj.jus.br/index.php?gf-download=2024%2F06%2FNota-Tecnica-Centro-de-Inteligencia-07-2024.pdf&amp;form-id=57&amp;field-id=9&amp;hash=abcb4a94d1c80d302dedc93bfd3e8044defe42d1ab11eea773d39ee076360a6f</t>
  </si>
  <si>
    <t>Ementa: Adesão à Nota Técnica CIJMG 12/2024 - TEMA REPETITIVO Nº 1198
 STJ- Questão submetida a julgamento: "Possibilidade de o juiz, vislumbrando a
 ocorrência de litigância predatória, exigir que a parte autora emende a petição inicial
 com apresentação de documentos capazes de lastrear minimamente as pretensões
 deduzidas em juízo, como procuração atualizada, declaração de pobreza e de
 residência, cópias do contrato e dos extratos bancários" com acréscimo de dados
 estatísticos e informações pertinentes à contextualização do cenário atual do Poder
 Judiciário do Estado do Tocantins.</t>
  </si>
  <si>
    <t>https://formularios-corregedoria.cnj.jus.br/index.php?gf-download=2024%2F07%2Fnota15.pdf&amp;form-id=57&amp;field-id=9&amp;hash=902ee1c00aa18064b6a96945fe1ead0ff0000b4b0666cbcfa9d38de220de5238</t>
  </si>
  <si>
    <t>Sugestão de Rotina de antecipação do Arquivamento de Precatórios e RPVs.</t>
  </si>
  <si>
    <t>https://formularios-corregedoria.cnj.jus.br/index.php?gf-download=2025%2F06%2FNotaTecnica_042023.pdf&amp;form-id=57&amp;field-id=9&amp;hash=3a06319d6bc2edc26c679fc6ae9f5f7f2a4fee9809e7abb9ae1c5921fc4f73df</t>
  </si>
  <si>
    <t>F_216</t>
  </si>
  <si>
    <t>F_217</t>
  </si>
  <si>
    <t>005/2023</t>
  </si>
  <si>
    <t>Recomenda a criação de ferramenta tecnológica para monitoramento das demandas ajuizadas no Tribunal Regional do Trabalho da 15ª Região.</t>
  </si>
  <si>
    <t>https://formularios-corregedoria.cnj.jus.br/index.php?gf-download=2023%2F11%2FNT005-2023.pdf&amp;form-id=57&amp;field-id=9&amp;hash=3bb07d7c036add0815881a26112b3324dd66d11335d456345c77d77f7367f50a</t>
  </si>
  <si>
    <t>F_219</t>
  </si>
  <si>
    <t>F_220</t>
  </si>
  <si>
    <t>02 - CIJUSPE</t>
  </si>
  <si>
    <t>EMENTA. Identificação das demandas agressoras, em especial no âmbito do Sistema dos Juizados Especiais do Estado de Pernambuco, e propositura de medidas de gestão visando coibir e reprimir as referidas lides, conforme prevê o Ato do CIJUSPE n. 03/2021, de 09 de agosto de 2021.</t>
  </si>
  <si>
    <t>https://formularios-corregedoria.cnj.jus.br/index.php?gf-download=2024%2F12%2FNota-Tecnica-n.-02-CIJUSPE.pdf&amp;form-id=57&amp;field-id=9&amp;hash=89fabe3de9d4db1ecae1342e6d61644b3937e52a6bf9cc9363eba9a5f9cf7737</t>
  </si>
  <si>
    <t>F_221</t>
  </si>
  <si>
    <t>13/2025</t>
  </si>
  <si>
    <t>Recomendação institucional de autuação do Incidente de Desconsideração da Personalidade Jurídica em apartado</t>
  </si>
  <si>
    <t>https://formularios-corregedoria.cnj.jus.br/index.php?gf-download=2025%2F06%2FNotaTecnica_13_2025.pdf&amp;form-id=57&amp;field-id=9&amp;hash=56a1ede88fe68e59995e63a2dcae46b7a266966c8ccdd42687fb2b2573371654</t>
  </si>
  <si>
    <t>F_222</t>
  </si>
  <si>
    <t>F_223</t>
  </si>
  <si>
    <t>Plataforma/base: SciELO e portal da Fundação Getulio Vargas (FGV Direito SP). Revista/periódico: Revista Direito GV, v. 16, n. 2 (2020)</t>
  </si>
  <si>
    <t>Ementa: Assinaturas eletrônicas, procuração como instrumento de mandato
 judicial e outros documentos assinados eletronicamente, destinados à
 comprovação de fatos e atos jurídicos, e tratamento adequado de indícios de
 anomalias da litigiosidad</t>
  </si>
  <si>
    <t>F_224</t>
  </si>
  <si>
    <t>https://formularios-corregedoria.cnj.jus.br/index.php?gf-download=2024%2F07%2FNota_Tecnica-16.pdf&amp;form-id=57&amp;field-id=9&amp;hash=6577eca639bc8a956c9f4506c43904131a7463224f94a0340233eb1e594ba281</t>
  </si>
  <si>
    <t>F_225</t>
  </si>
  <si>
    <t>Plataforma/base: SciELO Preprints; manuscrito submetido à Revista Direito GV. Revista/periódico: Revista Direito GV, v. 20 (2024), em condição de preprint no arquivo analisado</t>
  </si>
  <si>
    <t>https://formularios-corregedoria.cnj.jus.br/index.php?gf-download=2024%2F07%2FNota_Tecnica-161.pdf&amp;form-id=57&amp;field-id=9&amp;hash=68b1b63ef2e68983c2297f4b475f1e7624e5c8b04482f89503d4743a62a1f43a</t>
  </si>
  <si>
    <t>Procedimento para processamento do Incidente de Resolução de Demandas Repetitivas (IRDR)</t>
  </si>
  <si>
    <t>https://formularios-corregedoria.cnj.jus.br/index.php?gf-download=2024%2F06%2FNOTA-TECNICA-No-8-2024-NTEC-142024.pdf&amp;form-id=57&amp;field-id=9&amp;hash=a80c6545cc9157f738d04c3db6a391888ce46aebcd88082a2a8735537e18166c</t>
  </si>
  <si>
    <t>ENFRENTAMENTO AO EXCESSO DE LITIGIOSIDADE E À LITIGÂNCIA PROTELATÓRIA. INOBSERVÂNCIA DE PRECEDENTE QUALIFICADO E MÁ-FÉ PROCESSUAL.</t>
  </si>
  <si>
    <t>https://formularios-corregedoria.cnj.jus.br/index.php?gf-download=2023%2F10%2FNota-Tecnica-n.-05.2023-TJMA.pdf&amp;form-id=57&amp;field-id=9&amp;hash=2e229afe7b898ddcf784f8516999835e80889fe12761ca30e7282c682ee2e48e</t>
  </si>
  <si>
    <t>F_230</t>
  </si>
  <si>
    <t>Marco Bruno Miranda Clementino; Lucas José Bezerra Pinto; 2024; DOI 10.5281/zenodo.13822575</t>
  </si>
  <si>
    <t>Litigância predatória: entre o acesso à justiça e os abusos sistemáticos do direito ao processo</t>
  </si>
  <si>
    <t>Brasil; Poder Judiciário; exemplos do TJMS, TJMG, Saloá/PE, Centros de Inteligência e Tema Repetitivo 1.198 do STJ; articulação com MP, OAB, advocacias e Defensorias</t>
  </si>
  <si>
    <t>Não implementa IA. Defende processamento de dados e informações, triagem, classificação de demandas repetitivas, visão gerencial transversal e cooperação entre Centros de Inteligência e atores do sistema; não especifica algoritmo</t>
  </si>
  <si>
    <t>Define litigância predatória como utilização subversiva do direito de ação/jurisdição, mediante atos sistematicamente reiterados com aparência de licitude, desvio de finalidade e prejuízo ao Judiciário, à parte adversa ou a terceiros. Distingue-a de litigância repetitiva legítima, complexidade, má-fé isolada e mero alto consumo de recursos</t>
  </si>
  <si>
    <t>Propõe três etapas: identificação preliminar, discussão procedimentalizada e responsabilização. Recomenda resposta institucional cooperativa e resposta processual por coletivização integrativa, com coordenação entre processos individuais, coletivos e repetitivos. Ressalta contraditório, ampla defesa e devido processo antes de cautelas ou sanções</t>
  </si>
  <si>
    <t>Abordagem problematizadora, exploratória, dedutiva e documental-bibliográfica; não valida empiricamente a definição nem cria indicadores operacionais automatizados. Dados de custo e prevalência derivam de notas técnicas. O estudo reconhece caráter preliminar do conceito e critica a redução temática do Tema 1.198/STJ</t>
  </si>
  <si>
    <t>Sugestão de rotinas aos magistrados e magistradas para identificação do ajuizamento de demandas predatórias e recomendação de uniformização de procedimentos administrativos e jurisdicionais com vista a reprimir referidas lides.</t>
  </si>
  <si>
    <t>https://formularios-corregedoria.cnj.jus.br/index.php?gf-download=2023%2F10%2FNota-Tecnica-n.-05.2023-TJGO.pdf&amp;form-id=57&amp;field-id=9&amp;hash=6949ebf85ee942929299c366b209d490ba213ec1bf7db872e5813c1ffcf0e599</t>
  </si>
  <si>
    <t>Atuação de advogados que utilizam a captação ilícita de clientes para ajuizamento de demandas de massa e predatórias, no interior da Bahia, em face de instituições financeiras.</t>
  </si>
  <si>
    <t>https://formularios-corregedoria.cnj.jus.br/index.php?gf-download=2023%2F10%2FNota-tecnica-PN010.2023.pdf&amp;form-id=57&amp;field-id=9&amp;hash=000e7a523479dd7073d6c3921003dac1b205189534c33feed0c9b9ba03cf9a9d</t>
  </si>
  <si>
    <t>NC</t>
  </si>
  <si>
    <t>Enunciados aprovados no curso intitulado 'Poderes do Juiz em face da Litigância Predatória' realizado pela Corregedoria Geral da Justiça em 19/04 e 14/06/2024.</t>
  </si>
  <si>
    <t>https://formularios-corregedoria.cnj.jus.br/index.php?gf-download=2025%2F02%2FTJSP-Enunciados-Litigancia-Predatoria-da-Corregedoria-Geral-da-Justica.pdf&amp;form-id=57&amp;field-id=9&amp;hash=67bb80c4e71a974211775f50154f5e2fadff30edb395ef2463d23ef8cbb737a4</t>
  </si>
  <si>
    <t>Abordagem de demandaspredatórias do Poder Judiciário e recomendação de medidas de gestão aos magistrados para uniformização de procedimentos administrativos e jurisdicionais com vistas a reprimir referidas lides.</t>
  </si>
  <si>
    <t>https://formularios-corregedoria.cnj.jus.br/index.php?gf-download=2023%2F10%2FNota-Tecnica-n.-01.2022-TJGO.pdf&amp;form-id=57&amp;field-id=9&amp;hash=1502f1a1ba9a205e9d998a38f5e3eba77666ed27f685caa72e093ca62d4672bf</t>
  </si>
  <si>
    <t>Abuso do direito de ação em demandas de cobrança processadas sob o rito dos Juizados Especiais</t>
  </si>
  <si>
    <t>https://formularios-corregedoria.cnj.jus.br/index.php?gf-download=2024%2F09%2FNOTA-TECNICA-No-9-2024-NTEC-172024.pdf&amp;form-id=57&amp;field-id=9&amp;hash=f7723cb49bd2bfabf20ce424b7b692a78251e7170b357e84f911c486846d15cb</t>
  </si>
  <si>
    <t>RR</t>
  </si>
  <si>
    <t>TJRR</t>
  </si>
  <si>
    <t>USO ABUSIVO DO DIREITO DE AÇÃO – DEMANDAS AGRESSORAS, PREDATÓRIAS E FRAUDULENTAS – IDENTIFICAÇÃO DOS MEIOS E ADOÇÃO DE BOAS PRÁTICAS PARA O ENFRENTAMENTO DA LITIGÂNCIA DE MÁ-FE OU ABUSO DE DIREITO – ADESÃO ÀS NOTAS TÉCNICAS EMITIDAS PELOS CENTROS DE INTELIGÊNCIA, SETORES E GRUPOS ESPECIAIS, DE DIVERSOS TRIBUNAIS BRASILEIROS CERCA DO TEMA. &lt;/strong&gt;&lt;/p&gt;
 &lt;p class="Texto_Ementa" dir="ltr"&gt;&lt;strong&gt;1.&lt;/strong&gt; O uso abusivo do direito de ação por meio das chamadas demandas agressoras, predatórias e fraudulentas é um dos mais graves problemas enfrentados pelo Poder Judiciário brasileiro atualmente, ocasionando prejuízos ao erário e grande impacto no tempo médio de tramitação dos processos;&lt;/p&gt;
 &lt;p class="Texto_Ementa" dir="ltr"&gt;&lt;strong&gt;2.&lt;/strong&gt; &lt;strong&gt;DEMANDA AGRESSORA:&lt;/strong&gt; se caracteriza pelo ajuizamento de causas fabricadas em lotes imensos de processos, geralmente trazidas por poucos escritórios de advocacia que praticam captação de clientela em massa e dizem respeito a uma tese jurídica “fabricada” visando enriquecer ilicitamente partes e advogados, independentemente da plausibilidade daquele pedido. Tipos de demandas agressoras: a)&lt;strong&gt; DEMANDAS PREDATÓRIAS POR PASSIVIDADE:&lt;/strong&gt; demandas derivadas de relações jurídicas massificadas, portanto, repetitivas, com violação reiterada e sistêmica de garantias jurídicas reconhecidas a consumidores por empresas, grupos ou conglomerados econômicos, empresariais ou industriais, que, por meio de atitudes procrastinatórias, retardam o adimplemento da obrigação contratual ou legal de modo a potencializar a obtenção de lucros por meio da instrumentalização do Poder Judiciário; b)&lt;strong&gt; DEMANDAS PREDATÓRIAS POR ATIVIDADE: &lt;/strong&gt;demandas decorrentes do uso abusivo do direito de postular, verificada comumente em situações em que a parte e/ou advogado propõem duas, ou mais ações idênticas, ou fraciona pedidos, ou causas de pedir comuns com a proposição de duas, ou mais ações contra a mesma parte passiva, quando poderia propor uma única, podendo gerar dificuldade para a defesa da parte adversa e maximizar possibilidade de êxito e o ganho patrimonial indevido por meio de indenizações e honorários contratuais e de sucumbência maiores quantitativamente; c)&lt;strong&gt; DEMANDAS FRAUDULENTAS:&lt;/strong&gt; são aquelas propostas sem o conhecimento do titular da relação jurídica, utilizando-se de algum conteúdo falso, instruídas eventualmente com a falsificação de documentos e/ou indução a parte em erro;&lt;/p&gt;
 &lt;p class="Texto_Ementa" dir="ltr"&gt;&lt;strong&gt;3.&lt;/strong&gt; Por meio desta nota técnica ficam assentados os conceitos de demandas agressoras, predatórias e fraudulentas, a fim de auxiliar na identificação de possíveis casos de litigância de má-fé ou abuso de direito no âmbito do TJRR;&lt;/p&gt;
 &lt;p class="Texto_Ementa" dir="ltr"&gt;&lt;strong&gt;4. &lt;/strong&gt;Ratificam-se as notas técnicas já produzidas a respeito do tema pelo Centro de Inteligência dos Juizados Especiais do TJRN – Nota Técnica n.º 01/2020; Centro de Inteligência da Justiça do Distrito Federal (CIJDF) – Nota Técnica n.º 02/2021; Centro de Inteligência da Justiça Estadual do Estado de Pernambuco (CIJUSPE) – Nota Técnica n.º 02/2021; Centro de Inteligência do Tribunal de Justiça do Mato Grosso do Sul – Nota Técnica nº 01/2022; Centro de Inteligência do Núcleo de Gerenciamento de Precedentes (CINUGEP) do TJTO – Notas Técnicas números 02/2021 e 03/2021; Grupo de Trabalho instituído pela Portaria n.º 026/2021 CGJ/TJMT – Nota Técnica de abril de 2021; e Centro de Inteligência de Minas Gerais – Nota Técnica CIJMG n.º 01/2022, reforçando o valor e a eficácia dos documentos e promovendo o compartilhamento de informações e boas práticas pelos centros de inteligência dos demais tribunais pátrios.&lt;/p&gt;</t>
  </si>
  <si>
    <t>https://formularios-corregedoria.cnj.jus.br/index.php?gf-download=2023%2F10%2FNT-02-2022.pdf&amp;form-id=57&amp;field-id=9&amp;hash=50905b7bae254107b558346cadf570c59fe63e0fdc03056db3250ca4797cf460</t>
  </si>
  <si>
    <t>Eleitoral</t>
  </si>
  <si>
    <t>TRE-SE</t>
  </si>
  <si>
    <t>.</t>
  </si>
  <si>
    <t>https://formularios-corregedoria.cnj.jus.br/index.php?gf-download=2023%2F10%2FCertidao-diretriz-71.pdf&amp;form-id=57&amp;field-id=9&amp;hash=5dc6a0517ff7fbe67f3cffe1eb7825dc9223c8d74215c3bd5df33451ed53aa9f</t>
  </si>
  <si>
    <t>F_243</t>
  </si>
  <si>
    <t>SciELO Brasil; Opinião Pública; indexação internacional do periódico. Fonte: https://www.scielo.br/j/op/</t>
  </si>
  <si>
    <t>"sham litigation" AND acesso à justiça AND fluxo processual</t>
  </si>
  <si>
    <t>Fernando Fontainha; Paulo Rodrigues; Pedro de Araujo Fernandes; 2021; DOI 10.1590/1807-01912021273797</t>
  </si>
  <si>
    <t>A Reforma Trabalhista de 2017 e seus efeitos: análise do fluxo processual do TRT1</t>
  </si>
  <si>
    <t>Brasil; TRT da 1ª Região; Justiça do Trabalho</t>
  </si>
  <si>
    <t>Não utiliza IA. Análise de microdados processuais e estatística descritiva.</t>
  </si>
  <si>
    <t>Discussão de litigância predatória/sham litigation no contexto do acesso à Justiça e do fluxo processual.</t>
  </si>
  <si>
    <t>Analisa mudanças quantitativas e qualitativas no fluxo processual após a Reforma Trabalhista.</t>
  </si>
  <si>
    <t>O conceito não é o objeto central; aderência indireta ao eixo de litigância abusiva.</t>
  </si>
  <si>
    <t>Relatório de atividades - Biênio 2018/ 2019</t>
  </si>
  <si>
    <t>Relatório de atividades - Numopede CGJ TJSP - biênio 2018/2019</t>
  </si>
  <si>
    <t>https://formularios-corregedoria.cnj.jus.br/index.php?gf-download=2023%2F10%2FRelatorio-Numopede-2018-2019.pdf&amp;form-id=57&amp;field-id=9&amp;hash=4c06ca1614c407a77841c2f7cda93b4063d36ecce7bef7bc411a5b654531ba38</t>
  </si>
  <si>
    <t>13/2025 (NTEC - 72/2025)</t>
  </si>
  <si>
    <t>PROCESSO CIVIL. GESTÃO JUDICIÁRIA. CENTRO
 DE INTELIGÊNCIA. FRACIONAMENTO ABUSIVO DE
 DEMANDAS (LITIGÂNCIA FRAGMENTADA). RECOMENDAÇÃO
 CNJ N.º 159/2024. TEMA 1.198/STJ.</t>
  </si>
  <si>
    <t>https://formularios-corregedoria.cnj.jus.br/index.php?gf-download=2026%2F02%2FNOTA-TECNICA-No-13-2025-Fracionamento-de-Demandas.pdf&amp;form-id=57&amp;field-id=9&amp;hash=3f00cdd11e136b9fbafe07a6b3ce563ca4ded1b4df87a789c3a66026b1bfc95c</t>
  </si>
  <si>
    <t>ES</t>
  </si>
  <si>
    <t>TRT17</t>
  </si>
  <si>
    <t>Protocolos de identificação, prevenção e tratamento de litigâncias abusivas no âmbito do Tribunal Regional do Trabalho da 17ª Região.</t>
  </si>
  <si>
    <t>https://formularios-corregedoria.cnj.jus.br/index.php?gf-download=2026%2F01%2FNT13.pdf&amp;form-id=57&amp;field-id=9&amp;hash=4de991acb5adb2136713ac9eca068f380d1cf79e8a2c1f323f60174cb02d48af</t>
  </si>
  <si>
    <t>Implementar mecanismos para coibir a judicialização predatória, em em face de concessionárias de carneiro perpétuo.</t>
  </si>
  <si>
    <t>https://formularios-corregedoria.cnj.jus.br/index.php?gf-download=2024%2F02%2FNota-Tecnica-01-2024.pdf&amp;form-id=57&amp;field-id=9&amp;hash=855de23c20c30322533d33aa89a8a5ff3aebbd10f8b3841e512ba8a415914837</t>
  </si>
  <si>
    <t>ADOÇÃO DE SOFTWARE PARA AUXÍLIO DE
 DEMANDAS DE MASSA. A utilização de
 ferramentas de inteligência artificial para
 desenvolvimento de modelos de busca de dados
 referentes às demandas de massa ou predatórias é
 meio legítimo e eficiente para assegurar a todos o
 direito a uma solução dos conflitos por meios
 adequados à sua natureza.</t>
  </si>
  <si>
    <t>https://formularios-corregedoria.cnj.jus.br/index.php?gf-download=2023%2F10%2FNOTA-TECNICA-05-2022-CRI-1.pdf&amp;form-id=57&amp;field-id=9&amp;hash=16fac9b087d02d7c039c03bf4b7bd33285c8ef599c4e8f01ad9b64ca2cd5e88d</t>
  </si>
  <si>
    <t>Nota Técnica nº 01/2023 - Poder Judiciário do Estado do Rio de Janeiro - Alerta sobre &lt;/span&gt;&lt;span class="NormalTextRun SCXW34365271 BCX8"&gt;as demandas distribuídas pelo advogado Dr. Bruno Ação revisional de contrato de financiamento de veículo automotor -Necessidade de se verificar a propositura em nome do titular do contrato - Coibira utilização indevida do documento intitulado "declaração de real consumidor" - Tentativa de alteração do polo ativo</t>
  </si>
  <si>
    <t>https://formularios-corregedoria.cnj.jus.br/index.php?gf-download=2023%2F11%2FNOTA-TECNICA-no-01-2023-TEMA-JUDICIALIZACAO-PREDATORIA.pdf&amp;form-id=57&amp;field-id=9&amp;hash=ceb6bb0d7e3df508822e77ab469b1f9ecd08f3266fa0470b15a2db41e8f6755c</t>
  </si>
  <si>
    <t>AL</t>
  </si>
  <si>
    <t>TJAL</t>
  </si>
  <si>
    <t>002/2023</t>
  </si>
  <si>
    <t>JUDICIALIZAÇÃO PREDATÓRIA - DEMANDA EM MASSA COM CERCEAMENTO DE DEFESA - RECOMENDAÇÃO Nº 127/2022 DO CNJ - ATUAÇÃO DO CENTRO DE INTELIGÊNCIA DE ALAGOAS - NECESSIDADE - ADOÇÃO DE CAUTELAS - RECOMENDAÇÕES</t>
  </si>
  <si>
    <t>https://formularios-corregedoria.cnj.jus.br/index.php?gf-download=2023%2F11%2F2notatecnicaci.pdf&amp;form-id=57&amp;field-id=9&amp;hash=b92f34865bcd49fba8a9af2206bc571f4241a83adb7d10923e3f030a149cd240</t>
  </si>
  <si>
    <t>TJPR</t>
  </si>
  <si>
    <t>Abordagem das ações predatórias na jurisprudência do TJPR e sugestões sobre o gerenciamento processual dessas demandas.</t>
  </si>
  <si>
    <t>https://formularios-corregedoria.cnj.jus.br/index.php?gf-download=2023%2F10%2FNota-Tecnica-n.-06.2023-TJPR.pdf&amp;form-id=57&amp;field-id=9&amp;hash=2c8ff0fcc1001c0a0f93f90f7191f80c6e0222a20342eac6e81ff5553ee67fbb</t>
  </si>
  <si>
    <t>REUNIÃO DE NOTAS TÉCNICAS SOBRE DEMANDAS PREDATÓRIAS</t>
  </si>
  <si>
    <t>https://formularios-corregedoria.cnj.jus.br/index.php?gf-download=2023%2F10%2FNota-Tecnica-n.-02.2023-TJRJ.pdf&amp;form-id=57&amp;field-id=9&amp;hash=db7c73c7655898d5acb419160d8474a0ebda16ec4ac31429ac49f4f7bed412f9</t>
  </si>
  <si>
    <t>Sugestão de análise ponderada e deferimento do pedido de consultas de endereço em sistemas eletrônicos, caso a parte autora necessite dessa informação para impulsionar o processo judicial.</t>
  </si>
  <si>
    <t>https://formularios-corregedoria.cnj.jus.br/index.php?gf-download=2025%2F06%2FNotaTecnica_062023.pdf&amp;form-id=57&amp;field-id=9&amp;hash=9b8fb902b2ba9623bd91bef48511d846c86dc3e0935af689f2ddbee8dfe23121</t>
  </si>
  <si>
    <t>TJDFT</t>
  </si>
  <si>
    <t>JUDICIALIZAÇÃO INDEVIDA NOS JUIZADOS ESPECIAIS
 – DEMANDAS PREDATÓRIAS E LITIGÂNCIA
 FABRICADA – AUSÊNCIA DE PLAUSIBILIDADE
 JURÍDICA – ADESÃO À NOTA TÉCNICA DO TRIBUNAL DE
 JUSTIÇA DO RIO GRANDE DO NORTE – APLICABILIDADE
 NA JUSTIÇA DO DISTRITO FEDERAL.&lt;/p&gt;</t>
  </si>
  <si>
    <t>https://formularios-corregedoria.cnj.jus.br/index.php?gf-download=2023%2F10%2FNota-Tecnica-2-Adesao-a-Nota-Tecnica-1-do-TJRN.pdf&amp;form-id=57&amp;field-id=9&amp;hash=3ad83ad969f518423d1e28cc6175d86a12dd3dad0802dbff68cfafb2303e2737</t>
  </si>
  <si>
    <t>13/2023</t>
  </si>
  <si>
    <t>Estudo realizado com o propósito de analisar a crescente litigiosidade tributária sob aspecto de litigância predatória, ocasião em que se identificou dispersão de entendimento jurisprudencial.</t>
  </si>
  <si>
    <t>https://formularios-corregedoria.cnj.jus.br/index.php?gf-download=2023%2F10%2FNota_Tecnica_No_13_-_CINUGEP.TJTO.pdf&amp;form-id=57&amp;field-id=9&amp;hash=12edd054d3c83cf26ba0f14aecf802cbfe07d89d2658f7baf2f1b2ea0dd99cb3</t>
  </si>
  <si>
    <t>0000160-23.2024.5.08.0006</t>
  </si>
  <si>
    <t>Reconheceu a prática de litigância predatória em razão da falta de preocupação do patrono do autor em individualizar cada ação, de acordo com os dados contratuais de cada "substituído", fazendo peticionamento genérico, sem indicação precisa de fatos e dados dos exequentes, como alteração mínima dos dados da causa, a maioria das vezes apenas o nome da parte, aproximam suas demandas daquilo que se convencionou chamar de litigância predatória, abarrotando o judiciário com ações semelhantes, em prejuízo da outra parte, e regra geral para obter vantagens indevidas.</t>
  </si>
  <si>
    <t>https://formularios-corregedoria.cnj.jus.br/index.php?gf-download=2024%2F12%2FProcesso_-0000160-23.2024.5.08.0006-litigancia-predatoria.pdf&amp;form-id=57&amp;field-id=9&amp;hash=04645658ffb2d95936fb35badd1ba240f61bdccb09dcd7fa5b9d3cbc69495c83</t>
  </si>
  <si>
    <t>COMPILAÇÃO DE NOTAS TÉCNICAS DE BOAS PRÁTICAS DE ENFRENTAMENTO</t>
  </si>
  <si>
    <t>https://formularios-corregedoria.cnj.jus.br/index.php?gf-download=2023%2F10%2FNota-Tecnica-n.-06.2022-TJPA.pdf&amp;form-id=57&amp;field-id=9&amp;hash=f61c0f12b3120f382cf490640f84163df5611c3d8520cebbc05cc46760c25700</t>
  </si>
  <si>
    <t>Prova Técnica Simplificada para verificação de incapacidade, capacidade laborativa ou deficiência para fins de instrução de processos da competência previdenciária. Albergue legal. Aplicabilidade.</t>
  </si>
  <si>
    <t>https://formularios-corregedoria.cnj.jus.br/index.php?gf-download=2025%2F11%2F4-NT-04-2020.pdf&amp;form-id=57&amp;field-id=9&amp;hash=ca91c1a4fc3ad6983721b76c47645d27a5b33cd99898819ea560ef99fb21a718</t>
  </si>
  <si>
    <t>TRT3</t>
  </si>
  <si>
    <t>12/CI/2025</t>
  </si>
  <si>
    <t>Dispõe sobre o tratamento e a prevenção da litigância abusiva no âmbito do Tribunal Regional do Trabalho da 3ª Região.</t>
  </si>
  <si>
    <t>https://formularios-corregedoria.cnj.jus.br/index.php?gf-download=2025%2F05%2FNT-12.-2025-Litigancia-Abusiva.pdf&amp;form-id=57&amp;field-id=9&amp;hash=1f34af4749303f7014cec8540856d97ca1ae87888a0cacf06ddeb4792e92d3b3</t>
  </si>
  <si>
    <t>https://formularios-corregedoria.cnj.jus.br/index.php?gf-download=2025%2F05%2FNT-12.-2025-Litigancia-Abusiva1.pdf&amp;form-id=57&amp;field-id=9&amp;hash=498e3e2e24b920078aac9095e8fce3e7c7a98561a58bad912f16f6a5ddfa3a9e</t>
  </si>
  <si>
    <t>Propõe a adoção de medidas para identificar e coibir a litigância abusiva decorrente da inclusão indevida de pedidos de indenização por danos morais no valor da causa de ações previdenciárias, visando a preservação da competência dos Juizados Especiais Federais e o efetivo acesso à justiça</t>
  </si>
  <si>
    <t>https://formularios-corregedoria.cnj.jus.br/index.php?gf-download=2025%2F05%2Fjbc12_nota-tecnica-001-dano-moral1.pdf&amp;form-id=57&amp;field-id=9&amp;hash=46b5ab68e7c210ae305f0c5ce75bcd469ae8127f6b2be905a1e239f7cf5cf06b</t>
  </si>
  <si>
    <t>Abuso de direito de demandar perante os Juizados Especiais Cíveis: identificação de grupo econômico de fato em rede de franquias</t>
  </si>
  <si>
    <t>https://formularios-corregedoria.cnj.jus.br/index.php?gf-download=2023%2F10%2FCIJESC-Nota-Tecnica-04-2023.-Abuso-do-direito-de-demandar-no-JEC.pdf&amp;form-id=57&amp;field-id=9&amp;hash=cebe55866ffb2f04637cd8b997fab240e908fb1179851b46ede03e259073491d</t>
  </si>
  <si>
    <t>Uniformização do procedimento de retomada do trâmite processual no âmbito das Varas Federais vinculadas ao Tribunal Regional Federal da 6a Região diante do recente julgamento da ADI 5090 pelo STF. Racionalização do fluxo de trabalho em Primeira Instância e desoneração da Segunda Instância, pelo menor número de Recursos. Peculiaridades dos sistemas de processo eletrônico em vigor no TRF da 6ª Região. Relevância do Tema.</t>
  </si>
  <si>
    <t>https://formularios-corregedoria.cnj.jus.br/index.php?gf-download=2024%2F11%2FNT-03-2024.pdf&amp;form-id=57&amp;field-id=9&amp;hash=640256106b26f78bb2e5f48e53f15c659e4090a9aca182b6aa7fe6107eeeb235</t>
  </si>
  <si>
    <t>&lt;p style="text-align: left"&gt;JUDICIALIZAÇÃO INDEVIDA - DEMANDAS PREDATÓRIAS E LITIGÂNCIA FABRICADA - AUSÊNCIA DE PLAUSABILIDADE JURÍDICA - ADESÃO À NOTA TÉCNICA DO TRIBUNAL DE JUSTIÇA DO RIO GRANDE DO NORTE - APLICABILIDADE NA JUSTIÇA DE ALAGOAS.&lt;/p&gt;</t>
  </si>
  <si>
    <t>https://formularios-corregedoria.cnj.jus.br/index.php?gf-download=2023%2F10%2FNota-Tecnica-n.-01.2022-TJAL.pdf&amp;form-id=57&amp;field-id=9&amp;hash=e26bf1a0f58db6b5de09e29a3a1155acabbba34135f3dab565d51e8f27aa4fb0</t>
  </si>
  <si>
    <t>https://formularios-corregedoria.cnj.jus.br/index.php?gf-download=2023%2F10%2FNota-Tecnica-n.-01.2022-TJAL1.pdf&amp;form-id=57&amp;field-id=9&amp;hash=6ad4a1b4b97d7f9398139d1d552a7769474f8812200e732818bfd07872513a63</t>
  </si>
  <si>
    <t>NT - 03-2022</t>
  </si>
  <si>
    <t>Empréstimos consignados: Problemas repetitivos e soluções</t>
  </si>
  <si>
    <t>https://formularios-corregedoria.cnj.jus.br/index.php?gf-download=2023%2F10%2FNOTA-Tu00c9CNICA-03-2022.pdf&amp;form-id=57&amp;field-id=9&amp;hash=ee068f8412379820b501e3d25bdad9e7465e8937f3986bafadaed764c90d3cda</t>
  </si>
  <si>
    <t>Criação do sistema de inteligência artificial para busca, identificação e controle de demandas predatórias, fraudulentas e de massa.</t>
  </si>
  <si>
    <t>https://formularios-corregedoria.cnj.jus.br/index.php?gf-download=2023%2F10%2FNota-Tecnica-n.-03.2022-TJRO.pdf&amp;form-id=57&amp;field-id=9&amp;hash=76c1ae7a89a1389d7269d75c1c3e5d62eb5c1deaca185e473561170fcf969134</t>
  </si>
  <si>
    <t>DEMANDAS PREDATÓRIAS - Adesão do Centro de Inteligência da Justiça Estadual do Maranhão – CIJEMA à Nota
 Técnica 01/2022 do Centro de Inteligência do Tribunal de Justiça do Mato Grosso do
 Sul - CIJEMS.</t>
  </si>
  <si>
    <t>https://formularios-corregedoria.cnj.jus.br/index.php?gf-download=2023%2F10%2FNOTA-TECNICA-22-2022-Demandas-Predatorias.pdf&amp;form-id=57&amp;field-id=9&amp;hash=8e8c233df1417320eaadbe774954075e9be52276cd8c170f3aa56c10beaa7f0a</t>
  </si>
  <si>
    <t>TERMO DE COOPERAÇÃO 72/2023</t>
  </si>
  <si>
    <t>Termo de Compromisso Público firmado entre o Tribunal de Justiça do Estado do Pará – TJPA e a Ordem dos Advogados do Brasil – Seção Pará (OAB/PA),&lt;/strong&gt; que se comprometam a&lt;strong&gt; definir estratégias e ações institucionais conjuntas para identificar, monitorar e tratar estruturalmente os casos de litigância predatória, inclusive no que diz respeito a apuração de desvios éticos decorrentes do uso indevido da justiça, bem como a compartilhar pontualmente dados jurimétricos e informações pertinentes, estabelecendo um fluxo de trabalho interinstitucional.</t>
  </si>
  <si>
    <t>https://formularios-corregedoria.cnj.jus.br/index.php?gf-download=2024%2F01%2FACT-072.2023-Monitoramento-e-a-Gesta%CC%83o-Adequadas-das-Demandas-Precato%CC%81rias.pdf&amp;form-id=57&amp;field-id=9&amp;hash=46954cb0ba99ab3964ea778345885a6ba765dfa490c98853c224853af54e0dc5</t>
  </si>
  <si>
    <t>Implementar mecanismos para coibir a judicialização predatória - contratos de cartão de crédito consignado e demais empréstimos - Temas 1085 e 1198.</t>
  </si>
  <si>
    <t>https://formularios-corregedoria.cnj.jus.br/index.php?gf-download=2024%2F02%2FNota-Tecnica-no-02-2024.pdf&amp;form-id=57&amp;field-id=9&amp;hash=ee30243b7a795c8e6c58ad2342096ecc9c4dc3ee8860234d0499669833c7356f</t>
  </si>
  <si>
    <t>NOTA TÉCNICA Nº 02/2025</t>
  </si>
  <si>
    <t>Propõe orientação para a aplicação do Tema 1.184 da Repercussão Geral do STF e das Resoluções CNJ nº 547/2024 e 617/2025, visando uniformizar procedimentos em relação a execuções fiscais, especialmente as de pequeno valor, em complementação às Notas Técnicas nº 11/2018 e nº 51/2024, do Centro Nacional de Inteligência da Justiça Federal.</t>
  </si>
  <si>
    <t>https://formularios-corregedoria.cnj.jus.br/index.php?gf-download=2025%2F05%2Fjbc12_sei_7748006_nota_tecnica.pdf&amp;form-id=57&amp;field-id=9&amp;hash=a17d8fadabf12ced671ba50bab8ed6e114a96c8d7b62df109acb94b8b9f73eb7</t>
  </si>
  <si>
    <t>PI</t>
  </si>
  <si>
    <t>TJPI</t>
  </si>
  <si>
    <t>Nota Técnica 8 - CIJEPI</t>
  </si>
  <si>
    <t>Adesão à Nota Técnica 02/2021 - CIJUSPE
 DEMANDA PREDATÓRIA
 Cuida-se de espécie de demanda oriunda da prática de ajuizamento de ações produzidas em massa, utilizando-se de petições padronizadas contendo teses genéricas, desprovidas, portanto, das especificidades do caso concreto, havendo alteração apenas quanto às informações pessoais da parte, de forma a inviabilizar o exercício do contraditório e da ampla defesa.
 A prática é favorecida pela captação de clientes dotados de algum grau de vulnerabilidade, os quais podem ou não deter conhecimento acerca do ingresso da ação, e pelo uso de fraude, falsificação ou manipulação de documentos e omissão de informações relevantes, com nítido intento de obstaculizar o exercício do direito de defesa e potencializar os pleitos indenizatórios.
 Entretanto, é imperioso ressaltar que a atuação predatória não se confunde com a mera multiplicidade de ações sobre a mesma matéria ou assunto, razão pela qual se torna salutar a adesão à Nota Técnica indicada, a qual apresenta os conceitos adequados para identificação de atuação agressora</t>
  </si>
  <si>
    <t>https://formularios-corregedoria.cnj.jus.br/index.php?gf-download=2024%2F04%2FNT-8.pdf&amp;form-id=57&amp;field-id=9&amp;hash=2fc22dcf20309c27d3cc3a5e19886a4e21e58ca096ea302e214cb7cd594b4acb</t>
  </si>
  <si>
    <t>COMPILAÇÃO E UNIFICAÇÃO DE DADOS E INFORMAÇÕES DE NOTAS TÉCNICAS EMITIDAS POR OUTROS TRIBUNAIS.</t>
  </si>
  <si>
    <t>https://formularios-corregedoria.cnj.jus.br/index.php?gf-download=2023%2F10%2FNota-Tecnica-n.-04.2023-TJAP.pdf&amp;form-id=57&amp;field-id=9&amp;hash=b7f66a5256ae1653342468742174021cda79841480e04e650a1ce8c9999bc718</t>
  </si>
  <si>
    <t>EMENTA: PROTOCOLO DE ATUAÇÃO NO
 ENFRENTAMENTO ÀS DEMANDAS PREDATÓRIAS,
 COM SUGESTÕES DE BOAS PRÁTICAS, NO ÂMBITO
 DO 2º GRAU</t>
  </si>
  <si>
    <t>https://formularios-corregedoria.cnj.jus.br/index.php?gf-download=2023%2F12%2FNota_Tecnica_No_12_-_CINUGEP.TJTO-5.pdf&amp;form-id=57&amp;field-id=9&amp;hash=1af8a8633649a43e4d65015f2ab2a19e99bf8f09a9a31d5089b56ae5668f3297</t>
  </si>
  <si>
    <t>O acesso abusivo ao sistema de justiça, especialmente por meio de lides predatórias, é um dos mais graves problemas enfrentados pelo Poder Judiciário, com sérios prejuízos ao erário e grande impacto no tempo médio de tramitação dos processos. A ratificação das notas técnicas já produzidas a respeito reforça o valor e a eficácia dos documentos, e a compilação das informações e estratégias promovem o compartilhamento de boas práticas e conferem maior força ao enfretamento da litigância predatória.</t>
  </si>
  <si>
    <t>https://formularios-corregedoria.cnj.jus.br/index.php?gf-download=2023%2F10%2FNota-Tecnica-n.-01.2022-TJMG.pdf&amp;form-id=57&amp;field-id=9&amp;hash=7f454cf58afe940a462a93866402a2d57e1bfec282613745d46bdb43883cd184</t>
  </si>
  <si>
    <t>DIREITO CONSTITUCIONAL E PROCESSUAL CIVIL. GRATUIDADE DA JUSTIÇA. DOCUMENTAÇÃO MÍNIMA EXIGÍVEL À CONCESSÃO. OBSERVÂNCIA DAS NOTAS TÉCNICAS DO TJAC E DO TJDFT. PRECEDENTE DO STJ. PROPOSITURA DE DOCUMENTOS APRESENTÁVEIS EM JUÍZO À COMPROVAÇÃO DE HIPOSSUFICIÊNCIA DA PARTE PESSOA FÍSICA OU JURÍDICA</t>
  </si>
  <si>
    <t>https://formularios-corregedoria.cnj.jus.br/index.php?gf-download=2023%2F10%2FNOTA-TEiCNICA-No-5-CIJECE.pdf&amp;form-id=57&amp;field-id=9&amp;hash=7a4100ba4be672dd51d38567f48bce56517ea3a7117541b779a8aa2a5dad3490</t>
  </si>
  <si>
    <t>&gt;DIREITO CONSTITUCIONAL E PROCESSUAL CIVIL. GRATUIDADE DA JUSTIÇA. DOCUMENTAÇÃO MÍNIMA EXIGÍVEL À CONCESSÃO. OBSERVÂNCIA DAS NOTAS TÉCNICAS DO TJAC E DO TJDFT. PRECEDENTE DO STJ. PROPOSITURA DE DOCUMENTOS APRESENTÁVEIS EM JUÍZO À COMPROVAÇÃO DE HIPOSSUFICIÊNCIA DA PARTE PESSOA FÍSICA OU JURÍDICA.</t>
  </si>
  <si>
    <t>https://formularios-corregedoria.cnj.jus.br/index.php?gf-download=2023%2F10%2FNOTA-TEiCNICA-No-5-CIJECE1.pdf&amp;form-id=57&amp;field-id=9&amp;hash=44915b89560e2e0e24cba06119d7e89d3ce7efdbb1cad458c2d5a2f41b27d27f</t>
  </si>
  <si>
    <t>Litigância predatória; fracionamento de ações.</t>
  </si>
  <si>
    <t>https://formularios-corregedoria.cnj.jus.br/index.php?gf-download=2023%2F10%2FNota-Tecnica-n.-06.2023-TJSC.pdf&amp;form-id=57&amp;field-id=9&amp;hash=136d17c54f61a52d8f9a1e4f04765a9221456a0793eb3046c7860bb367615fe8</t>
  </si>
  <si>
    <t>Ementa: Orienta magistrados(as) e servidores(as) do Poder Judiciário quanto à racionalização das execuções fiscais, à luz do tema 1184 da Repercussão Geral.</t>
  </si>
  <si>
    <t>https://formularios-corregedoria.cnj.jus.br/index.php?gf-download=2024%2F12%2Foriginal0915242024072466a0fe6ccd3e4.pdf&amp;form-id=57&amp;field-id=9&amp;hash=aa891796fe46830a46cd88bec2d74271ba9a8cd87c19e242c23cd572b593bfb7</t>
  </si>
  <si>
    <t>Ementa: Orienta magistrados(as) e servidores(as) do Poder Judiciário quanto ao uso da ferramenta Qlik Sense rotineiramente como forma de consulta.</t>
  </si>
  <si>
    <t>https://formularios-corregedoria.cnj.jus.br/index.php?gf-download=2024%2F12%2Foriginal0905482024072466a0fc2c90400.pdf&amp;form-id=57&amp;field-id=9&amp;hash=38f7718e83205a1f1f104621f5a82e3102dbfb0bdc6f154221e0c58bf0aa7678</t>
  </si>
  <si>
    <t>Orienta magistrados(as), nos casos de demanda com características predatórias, a exigirem Procuração Judicial atualizada, Procuração Pública ou audiência de conciliação, em qualquer fase processual, exigindo a presença da parte.</t>
  </si>
  <si>
    <t>https://formularios-corregedoria.cnj.jus.br/index.php?gf-download=2024%2F12%2Foriginal0842352024072466a0f6bbb7022.pdf&amp;form-id=57&amp;field-id=9&amp;hash=8d8d21d1fc0508fe2fb91a3433ef0e1b535a63c73ac0b0be2b521f0adda70486</t>
  </si>
  <si>
    <t>O Centro de Inteligência do Núcleo de Gerenciamento de Precedentes - CINUGEP, instituído
 pela Resolução nº 9/2021 - PRESIDÊNCIA/ASPRE/TJTO, no exercício de suas atribuições legais, resolve
 homologar proposta de Nota Técnica, corporificada pelo estudo desenvolvido a partir da análise dos casos
 com características de litigância potencialmente predatória que foram monitorados e daqueles reportados
 pelas Unidades Judiciais</t>
  </si>
  <si>
    <t>https://formularios-corregedoria.cnj.jus.br/index.php?gf-download=2024%2F07%2FNota_Tecnica_14_CINUGEP_TJTO_-5.pdf&amp;form-id=57&amp;field-id=9&amp;hash=f28715c5fcfc1295057fe628f4520310473fba3c045e7a97543e08fbf0093a96</t>
  </si>
  <si>
    <t>TJAM</t>
  </si>
  <si>
    <t>ANÁLISE DOS AUTOS DE CENTENAS REPETITIVAS DE POSSÍVEIS LITIGÂNCIA PREDATÓRIAS</t>
  </si>
  <si>
    <t>https://formularios-corregedoria.cnj.jus.br/index.php?gf-download=2023%2F10%2FNota-Tecnica-n.-01.2022-TJAM.pdf&amp;form-id=57&amp;field-id=9&amp;hash=681a9e69153622d7686f9a9674dbba4ebdbc894c4e9faf173bc01e2077ff5bed</t>
  </si>
  <si>
    <t>DEMANDAS REPETITIVAS E DE MASSA COM USO PREDATÓRIO DA JUSTIÇA. NECESSIDADE DE COMPARTILHAMENTO DE INFORMAÇÕES ENTRE CENTROS DE INTELIGÊNCIA DO PODER JUDICIÁRIO E OUTRAS INSTITUIÇÕES. PADRONIZAÇÃO, METODOLOGIA E CANAL SEGURO PARA TRAMITAÇÃO DE CONHECIMENTO.</t>
  </si>
  <si>
    <t>https://formularios-corregedoria.cnj.jus.br/index.php?gf-download=2023%2F10%2FNota-Tecnica-5.pdf&amp;form-id=57&amp;field-id=9&amp;hash=cfd0e06b36a189fabdf50e4dcf7ac7d7586745d8d6dac7b0cd83378237ed26f9</t>
  </si>
  <si>
    <t>Sugere a competência para julgamento de crimes praticados contra crianças e adolescentes do sexo feminino.</t>
  </si>
  <si>
    <t>https://formularios-corregedoria.cnj.jus.br/index.php?gf-download=2025%2F04%2FNota-Tecnica-4.pdf&amp;form-id=57&amp;field-id=9&amp;hash=c1c3bd5840be45e9bb67dd6375d64dc40e83633e57135c29fc4b7d078c6a891b</t>
  </si>
  <si>
    <t>5011919-91.2025.4.04.7204</t>
  </si>
  <si>
    <t>Assim, diante da prevenção do Juízo Substituto da 1ª VF de Criciúma, determino a
 redistribuição destes autos por dependência ao processo nº 5008333-46.2025.4.04.7204.
 Ainda, em razão dos indícios de litigância abusiva, determino:
 a) a comunicação da Corregedoria Regional (correg@trf4.jus.br) para alimentação do
 painel da Corregedoria Nacional de Justiça;
 b) a comunicação ao Centro de Inteligência Local (clisc@jfsc.jus.br) para providências que
 entender cabíveis.
 Translade-se a presente decisão também para os autos preventos.</t>
  </si>
  <si>
    <t>https://formularios-corregedoria.cnj.jus.br/index.php?gf-download=2026%2F07%2FanexoEmailEproc_1769789977-50119199120254047204-Evento-30-DESPADEC1.pdf&amp;form-id=57&amp;field-id=9&amp;hash=4bfb17a004309945659fffcad18cc133da792f711198ae3125080017dc61432c</t>
  </si>
  <si>
    <t>CIJDF15/2025</t>
  </si>
  <si>
    <t>DIREITO PROCESSUAL CIVIL. FRACIONAMENTO ABUSIVO DE DEMANDAS. SOBREUTILIZAÇÃO DO PODER JUDICIÁRIO. LITIGÂNCIA ANÔMALA. RECOMENDAÇÃO CNJ 159/2024. 1. A presente nota técnica aborda o fracionamento abusivo de demandas judiciais, uma prática que, embora cada vez mais comum, carece de sistematização clara na doutrina e na jurisprudência brasileiras. 2. O estudo explora como essa estratégia, que consiste em distribuir em várias ações judiciais diferentes pedidos passíveis de cumulação em uma única demanda, visa a obter vantagens processuais indevidas ou a contornar limites impostos pelo sistema de justiça. Expõe, ainda, como essa prática sobrecarrega o Poder Judiciário e destaca a necessidade de adoção de critérios objetivos para combatê-la. 3. A nota diferencia o fracionamento abusivo de demandas de outras formas de litigância anômala e propõe soluções tecnológicas e processuais para enfrentar o problema, incluindo a utilização de inteligência artificial e a imposição de medidas mais rigorosas. 4. O estudo se alinha à Recomendação 159 de 23 de outubro de 2024 do Conselho Nacional de Justiça e aos Objetivos de Desenvolvimento Sustentável da Organização das Nações Unidas, reforçando a importância de um sistema judicial eficiente e justo.&lt;/span&gt;</t>
  </si>
  <si>
    <t>https://formularios-corregedoria.cnj.jus.br/index.php?gf-download=2025%2F07%2FNota_Tecnica_CIJDF_15_2025___Fracionamento_Abusivo_de_Demandas___texto_final_de_25_2_2025.pdf&amp;form-id=57&amp;field-id=9&amp;hash=841648b1811ba86c99d08ed33b649ae5ee9ef4fc00bb861f0c50034bfe066d60</t>
  </si>
  <si>
    <t>MS</t>
  </si>
  <si>
    <t>TRT24</t>
  </si>
  <si>
    <t>31/2025</t>
  </si>
  <si>
    <t>"Em razão da relevância atual do tema e da necessidade de dar cumprimento às determinações expedidas pela Corregedoria
 Nacional de Justiça, o Centro de Inteligência do TRT24 recomenda aos magistrados e suas respectivas unidades judiciárias - respeitando a independência funcional dos juízes e desembargadores, bem como a liberdade de convicção na prolação de suas decisões - a identificação das ações em que se reconheça a prática ou que se percebam indícios de litigância abusiva/predatória, com base nas orientações contidas na Recomendação CNJ n. 159/2024, bem como a comunicação ao Centro de Inteligência do Regional, a fim de que se possa dar início ao cadastramento dessas decisões no banco de dados do CNJ, criado para essa finalidade".</t>
  </si>
  <si>
    <t>https://formularios-corregedoria.cnj.jus.br/index.php?gf-download=2025%2F06%2FCI-NOTA-TECNICA-N.-31_2025.pdf&amp;form-id=57&amp;field-id=9&amp;hash=402634062654a986e23b8a17dfa0c2ce0d8363409c97e241cdbb8b638fe896d7</t>
  </si>
  <si>
    <t>NOTA TÉCNICA N. 1/2024, do Centro Local de Inteligência da Seção Judiciária do Espírito Santo</t>
  </si>
  <si>
    <t>A Nota Técnica nº 01/2024, do Centro Local de Inteligência da Seção Judiciária do Espírito Santo, trata da identificação da crescente judicialização em torno dos empréstimos consignados em benefícios previdenciários no âmbito do Regime Geral de Previdência Social, mediante ações individuais nas quais o polo passivo é composto, em geral, pela(s) instituição(ões) financeira(s) responsável(eis) e pelo INSS, no âmbito da Seção Judiciária do Espírito Santo.</t>
  </si>
  <si>
    <t>https://formularios-corregedoria.cnj.jus.br/index.php?gf-download=2024%2F12%2FNotaTecnica2024_01Centro-local-de-inteligencia-sjes-emprestimos-consignados-inss-assinada_0.pdf&amp;form-id=57&amp;field-id=9&amp;hash=7fa5a8bbc230062c7aa0dd309a85c9285fdccfe2c6e43a75f8b4f4b9b1dc08c6</t>
  </si>
  <si>
    <t>DIREITO PROCESSUAL CIVIL. APLICAÇÃO DO TEMA REPETITIVO 1198 DO STJ. DEMANDAS PREDATÓRIAS. ADESÃO À
 NOTA TÉCNICA Nº 12/2024 DO CENTRO DE INTELIGÊNCIA DA JUSTIÇA DE MINAS GEAIS – CIJMG. EXPOSIÇÃO DE DADOS. PARCERIA COM A CORREGEDORIA-GERAL DE JUSTIÇA. RECOMENDAÇÕES AOS OPERADORES DO DIREITO.</t>
  </si>
  <si>
    <t>https://formularios-corregedoria.cnj.jus.br/index.php?gf-download=2024%2F10%2FNT-8-CIJECE-ADESAO-NT-12-CIJMG-versao-final.pdf&amp;form-id=57&amp;field-id=9&amp;hash=93019e0c15f87039c80bd261712c22545520db6b7b18a6b4d96e4892eef55a7b</t>
  </si>
  <si>
    <t>Dirigir-se aos órgãos jurisdicionais e administrativos deste Tribunal Regional do Trabalho da 11ª Região, com o intuito de reunir e disseminar os seguintes conceitos, características e providências a serem tomadas em caso de identificação de prática de litigância predatória, bem como recomendar estratégias para lidar com o fenômeno.</t>
  </si>
  <si>
    <t>https://formularios-corregedoria.cnj.jus.br/index.php?gf-download=2024%2F10%2FNota-Tecnica-11-2024-TRT11.-Litigancia-Predatoria_Assinada.pdf&amp;form-id=57&amp;field-id=9&amp;hash=1dfef2ffe8609d950b5c514977d0c6a3187b6efad71f40b6bfda4be9a7457a36</t>
  </si>
  <si>
    <t>TRE-MT</t>
  </si>
  <si>
    <t>Ofício 325/2023</t>
  </si>
  <si>
    <t>Em anexo.</t>
  </si>
  <si>
    <t>https://formularios-corregedoria.cnj.jus.br/index.php?gf-download=2023%2F10%2FOficio-2023.325-Informa-ao-CNJ-sobre-nao-aplicacao-do-formulario-litigancia-predatoria.pdf&amp;form-id=57&amp;field-id=9&amp;hash=5d26e86987c5ce008d6c315cb86de65c792f0d7938d5f74544f50584b69cf923</t>
  </si>
  <si>
    <t>RN</t>
  </si>
  <si>
    <t>TJRN</t>
  </si>
  <si>
    <t>Tese jurídica “fabricada” com o objetivo de enriquecer ilicitamente partes e advogados, independentemente da plausibilidade daquele pedido.</t>
  </si>
  <si>
    <t>https://formularios-corregedoria.cnj.jus.br/index.php?gf-download=2023%2F10%2FN001_2022.pdf&amp;form-id=57&amp;field-id=9&amp;hash=710104ed2b7723a6b65ff104219fcb7822da631cb320cdc22a22ba1647c0e23f</t>
  </si>
  <si>
    <t>Orienta os(as) magistrados(as) do Poder Judiciário quanto à litigância abusiva no judiciário rondoniense, através de medidas no início do processo.</t>
  </si>
  <si>
    <t>https://formularios-corregedoria.cnj.jus.br/index.php?gf-download=2025%2F07%2Fnota-tecnica2.2025.pdf&amp;form-id=57&amp;field-id=9&amp;hash=0e2bf00c5b5dfe3634539041ee7f672a162f7291b5e3d4d7219f3eded6e8395b</t>
  </si>
  <si>
    <t>Orienta os(as) magistrados(as) e servidores(as) quanto à atuação judicial diante da litigância predatória - Tema 1198 do STJ.</t>
  </si>
  <si>
    <t>https://formularios-corregedoria.cnj.jus.br/index.php?gf-download=2025%2F07%2Fnota-tecnica-1.2025.pdf&amp;form-id=57&amp;field-id=9&amp;hash=99b0d8ed4100746a11ad8e9f9b8220b5b1b4a83c4d2411c5d1858a946e5e3213</t>
  </si>
  <si>
    <t>Recomenda aos(as) magistrados(as) ações voltadas ao cumprimento da Resolução 547/2024 do CNJ.</t>
  </si>
  <si>
    <t>https://formularios-corregedoria.cnj.jus.br/index.php?gf-download=2025%2F07%2Fnota-tecnica-3.2025.pdf&amp;form-id=57&amp;field-id=9&amp;hash=b24d07f92684e801ef40d4f64c28361842c7b079adf5a899b98f2a43d7ad5b7c</t>
  </si>
  <si>
    <t>Orientações para a uniformização do fluxo e encaminhamento nos autos judiciais envolvendo a Força-tarefa responsável pelo julgamento das demandas repetitivas alusivas ao Césio-137 mencionadas nos autos 5959886-51.2024, decididos pelo Presidente do Tribunal.</t>
  </si>
  <si>
    <t>https://formularios-corregedoria.cnj.jus.br/index.php?gf-download=2024%2F11%2FNotaTecnica_102024.pdf&amp;form-id=57&amp;field-id=9&amp;hash=0fa92bca3ae92f06237c6f618102e4b088d3f7daec1529cfb86a8b4b0e742cf3</t>
  </si>
  <si>
    <t>Instituir o Painel no Qlik Sense como ferramenta para levantamento de informações sobre Litispendência.</t>
  </si>
  <si>
    <t>https://formularios-corregedoria.cnj.jus.br/index.php?gf-download=2023%2F12%2FNota_Tecnica_n._03-2023_-_CIJERO.docx.pdf&amp;form-id=57&amp;field-id=9&amp;hash=e4462c4fcc1c19ba11d09f13ca379d8e414f0bf454607c27ac89a2c7dbd57ebc</t>
  </si>
  <si>
    <t>01/2023-CIJERO</t>
  </si>
  <si>
    <t>Litigância Predatória ou
 Fraudulenta. Definição. Características.
 Meio de Prevenção.</t>
  </si>
  <si>
    <t>https://formularios-corregedoria.cnj.jus.br/index.php?gf-download=2023%2F10%2FNota-Tecnica-n.-01-2023-CIJERO.docx.pdf&amp;form-id=57&amp;field-id=9&amp;hash=8c9df5addb90e14ecd65fbef56dbfcb818369e496210e746da7b43d04a1e6307</t>
  </si>
  <si>
    <t>N. 02/2023-CIJERO</t>
  </si>
  <si>
    <t>Orientação quanto às demandas
 repetitivas propostas nos Juizados
 Especiais da Fazenda Pública pelos
 policiais militares do Estado de Rondônia
 que buscam a implantação do adicional
 de disponibilidade concedido aos
 integrantes das Forças Armadas.</t>
  </si>
  <si>
    <t>https://formularios-corregedoria.cnj.jus.br/index.php?gf-download=2023%2F10%2FNota-Tecnica-n.-02-2023-CIJERO.docx.pdf&amp;form-id=57&amp;field-id=9&amp;hash=952db68514b964f09dff023103028f0854b34ce721389910ec56ffa3489d84ca</t>
  </si>
  <si>
    <t>Nota Técnica Nº 1 – NUMOPEDE – TJDFT</t>
  </si>
  <si>
    <t>Ementa: Assinadores eletrônicos, validade, documentos assinados eletronicamente, tratamento de indícios de litigância anômala.</t>
  </si>
  <si>
    <t>https://formularios-corregedoria.cnj.jus.br/index.php?gf-download=2024%2F10%2F1o-NT-Numopede-TJDFT-TJMG-e-TJTO.pdf&amp;form-id=57&amp;field-id=9&amp;hash=efdba956e107605c0a76988d7e939f1964967070cf38b0ccb9f678dadff6b81d</t>
  </si>
  <si>
    <t>1º ENUNCIADO DO NUMOPEDE</t>
  </si>
  <si>
    <t>Nos processos em que sejam questionadas compras realizadas por meio de suposta fraude no cartão de crédito, é razoável exigir a juntada de todas as faturas em que as operações financeiras contestadas tenham sido lançadas.</t>
  </si>
  <si>
    <t>https://formularios-corregedoria.cnj.jus.br/index.php?gf-download=2024%2F10%2F1o-ENUNCIADO-DO-NUMOPEDE.pdf&amp;form-id=57&amp;field-id=9&amp;hash=6ad713fba444b8be3cad10c576d079172b29fd8f412a8df5a26259949b4e3117</t>
  </si>
  <si>
    <t>A presente proposta de edição de Nota Técnica, do Centro de Inteligência do Tribunal de Justiça do Estado do Rio de Janeiro, tem
 por escopo implementar mecanismos para coibir a judicialização abusiva, definida pelo Conselho Nacional de Justiça como o “&lt;em&gt;desvio ou manifesto excesso dos limites impostos pela finalidade social, jurídica, política e/ou econômica do direito de acesso ao Poder Judiciário, inclusive no polo passivo, comprometendo a capacidade de prestação jurisdicional e o acesso à Justiça&lt;/em&gt;”.</t>
  </si>
  <si>
    <t>https://formularios-corregedoria.cnj.jus.br/index.php?gf-download=2025%2F02%2FNota-Tecnica-no-4-2025.pdf&amp;form-id=57&amp;field-id=9&amp;hash=490fa49f375a3bab56b4a2461b7cdf219fea1b6e2db363c57e6d9a94395a8801</t>
  </si>
  <si>
    <t>A presente proposta de edição de Nota Técnica, do Centro de Inteligência do Tribunal de Justiça do Estado do Rio de Janeiro, tem
 por escopo implementar mecanismos para coibir a judicialização abusiva/predatória, entendida, segundo o Conselho Nacional de
 Justiça, como o ajuizamento em massa em território nacional de ações com pedido e causa de pedir semelhantes em face de uma
 pessoa ou de um grupo específico de pessoas.</t>
  </si>
  <si>
    <t>https://formularios-corregedoria.cnj.jus.br/index.php?gf-download=2025%2F02%2FNota-Tecnica-no-2-2025.pdf&amp;form-id=57&amp;field-id=9&amp;hash=5462d9f764ae347119a72ce84e318f8ac7162b9d6f5a7f308f8cd60302e44fca</t>
  </si>
  <si>
    <t>https://formularios-corregedoria.cnj.jus.br/index.php?gf-download=2025%2F02%2FNota-Tecnica-no-3-2025.pdf&amp;form-id=57&amp;field-id=9&amp;hash=0fba33dd9f16a443541526498551c78e433a19c87eff38f0b4f39b102462b669</t>
  </si>
  <si>
    <t>Judicialização abusiva e predatória. Esta Nota Técnica, do Centro de Inteligência do Tribunal de Justiça do Estado do Rio de Janeiro, tem por escopo implementar mecanismos para coibir a judicialização abusiva, definida pelo Conselho Nacional de Justiça como o “desvio ou manifesto excesso dos limites impostos pela finalidade social, jurídica, política e/ou econômica do direito de acesso ao Poder Judiciário, inclusive no polo passivo, comprometendo a capacidade de prestação jurisdicional e o acesso à Justiça”.</t>
  </si>
  <si>
    <t>https://formularios-corregedoria.cnj.jus.br/index.php?gf-download=2025%2F02%2FNota-Tecnica-n.-1-2025-3.pdf&amp;form-id=57&amp;field-id=9&amp;hash=07cea4c44b2a6e45e13b02d214ecd4ead85e148e88d0ce8ef3f4d7a15e9d904a</t>
  </si>
  <si>
    <t>Conselhos</t>
  </si>
  <si>
    <t>CJF</t>
  </si>
  <si>
    <t>35/2021</t>
  </si>
  <si>
    <t>Analisa contratos de empréstimo e cartão de crédito fraudulentos, descontos em benefícios previdenciários, identificando a responsabilidade do Instituto Nacional do Seguro Social e apresentando ampla pesquisa jurisprudencial sobre o tema.</t>
  </si>
  <si>
    <t>https://formularios-corregedoria.cnj.jus.br/index.php?gf-download=2023%2F10%2FNT-35-Contratos-de-emprestimos-e-cartao-de-cedito-fraudulento-VF.pdf&amp;form-id=57&amp;field-id=9&amp;hash=d4230780fbd918373189ec421dfc0c56063e1259f5486d406e33d1fcb913304e</t>
  </si>
  <si>
    <t>Estabelecer padrões conceituais para orientação das unidades administrativas e judiciárias de 1º e 2º Graus do TRT4 quanto à identificação das demandas de massa e da litigância predatória.</t>
  </si>
  <si>
    <t>https://formularios-corregedoria.cnj.jus.br/index.php?gf-download=2024%2F05%2FNOTA-TECNICA-CI.TRT4-No-01-DE-15-DE-FEVEREIRO-DE-2024.pdf&amp;form-id=57&amp;field-id=9&amp;hash=7c439bbfae9ae3e521af554e4e43a52006f9ca1ea87f5d0c4e82128f5526d95b</t>
  </si>
  <si>
    <t>15/2025</t>
  </si>
  <si>
    <t>Recomendação sobre a importância de constar nos termos de audiência dos Juizados Especiais Criminais todas as questões cíveis e criminais relacionadas ao caso, com expressa renúncia do direito de ajuizar nova demanda indenizatória.</t>
  </si>
  <si>
    <t>https://formularios-corregedoria.cnj.jus.br/index.php?gf-download=2025%2F06%2FNotaTecnica_15_2025.pdf&amp;form-id=57&amp;field-id=9&amp;hash=45ce500d291ded5f44c2666e07c190ece6b292378ebd33bcd80feae9bcf4fbfe</t>
  </si>
  <si>
    <t>04 - CIJUSPE</t>
  </si>
  <si>
    <t>EMENTA. Possibilidade de o(a) magistrado(a) exigir nas demandas agressoras a procuração judicial com firma reconhecida ou procuração pública, na hipótese de a parte ser analfabeta. Orientação para que o(a) magistrado(a) deixe de expedir o alvará diretamente em nome do(a) advogado(a) nos casos de demandas agressoras.</t>
  </si>
  <si>
    <t>https://formularios-corregedoria.cnj.jus.br/index.php?gf-download=2024%2F12%2FNota-Tecnica-n.-04-CIJUSPE.pdf&amp;form-id=57&amp;field-id=9&amp;hash=b79b86cc73ab3fadd3c398e29974f147f13a3f5288330ee0998db77b9ba73205</t>
  </si>
  <si>
    <t>Nota Técnica Conjunta REINT/CLIPR/CLISC/CLIRS 03/2024</t>
  </si>
  <si>
    <t>&lt;i&gt;Adere à Nota Nota Técnica n. 1/2024, do Centro de Inteligência da Seção Judiciária do Espírito Santo (TRF2a Região)&lt;/i&gt;, a qual, por sua vez, trata de medidas processuais em demandas envolvendo empréstimos consignados em benefícios previdenciários do RGPS, com o objetivo de padronizar procedimentos e indiretamente contribuir para o enfrentamento à litigância predatória na matéria.</t>
  </si>
  <si>
    <t>https://formularios-corregedoria.cnj.jus.br/index.php?gf-download=2024%2F08%2FNT-Conjunta-3.2024.pdf&amp;form-id=57&amp;field-id=9&amp;hash=22e29421f58c358a082107933ee7bfee9db743fa7ee31da34f55c2c8d5234fd4</t>
  </si>
  <si>
    <t>NOTA TÉCNICA CONJUNTA Nº 03/ 2024 – REINT/CLIPR/CLISC/CLIRS
 Medidas processuais em demandas envolvendo empréstimos consignados em benefícios previdenciários do RGPS.
 Adere à Nota Nota Técnica n.1/2024, do Centro de Inteligência da Seção Judiciária do Espírito Santo (TRF2a Região).</t>
  </si>
  <si>
    <t>https://formularios-corregedoria.cnj.jus.br/index.php?gf-download=2026%2F04%2FNTC-03-2024.pdf&amp;form-id=57&amp;field-id=9&amp;hash=63975e465ad70fba76e902f9d270d2650e2e111f1cefb226612bf0308daad824</t>
  </si>
  <si>
    <t>Identificação de demandas agressoras relacionadas a pedido de Parcelamento de Crédito Estudantil Privado. Irregularidades na distribuição de processos, visando direcionamento para unidade de preferência, mau uso do segredo de justiça e documentação defasada e emprestada de outros processos.</t>
  </si>
  <si>
    <t>https://formularios-corregedoria.cnj.jus.br/index.php?gf-download=2023%2F10%2FNOTA-TECNICA-PN007.2022.pdf&amp;form-id=57&amp;field-id=9&amp;hash=6b381093729818df7f44eea61d0dc42f6227af99db2fe7e97e189b291bd0e15a</t>
  </si>
  <si>
    <t>Identificação de demandas predatórias e sugestão de adesão à Nota Técnica 01/2022 do Centro de Inteligência do Tribunal de Justiça de Mato Grosso do Sul (CIJEMS) e Nota Técnica apresentada pelo Grupo de Trabalho do Tribunal de Justiça do Mato Grosso (instituído pela Portaria 026/2021-CGJ/TJMT). Parecer conclusivo do Expediente TJ-COI-2022/05304.</t>
  </si>
  <si>
    <t>https://formularios-corregedoria.cnj.jus.br/index.php?gf-download=2023%2F10%2FNOTA-TECNICA-PN006.2022.pdf&amp;form-id=57&amp;field-id=9&amp;hash=4bc7b6ebc74f3df57a01020244beb24287b0075c1229f5985370c773c74e74b1</t>
  </si>
  <si>
    <t>https://formularios-corregedoria.cnj.jus.br/index.php?gf-download=2023%2F10%2FNOTA-TECNICA-PN006.20221.pdf&amp;form-id=57&amp;field-id=9&amp;hash=806775011c7c79a8d6a6cc4a00dacf3c30cbe2b5204e431ae2265ad6daa13254</t>
  </si>
  <si>
    <t>Uso predatório da jurisdição. Análise dos casos selecionados pelo Centro de Inteligência. Nota Técnica nº 01 do NUCOF/TJBA de 2021. Conclusões a partir da Nota Técnica do NUCOF e dos conceitos essenciais. Boas práticas para identificação das demandas predatórias e fraudulentas: elementos identificadores referentes às partes; elementos identificadores referentes à demanda e ao procedimento. Boas práticas para a prevenção, repressão e inibição de demandas predatórias e fraudulentas.</t>
  </si>
  <si>
    <t>https://formularios-corregedoria.cnj.jus.br/index.php?gf-download=2023%2F10%2FNOTA-TECNICA-PN008.2022.pdf&amp;form-id=57&amp;field-id=9&amp;hash=04dc42730119441d7f681149a9c354bbf0dd90fe3333cbf4b681a34f439b34e2</t>
  </si>
  <si>
    <t>TRT9</t>
  </si>
  <si>
    <t>EMENTA: LITIGÂNCIA PREDATÓRIA. NOTA TÉCNICA Nº 14 DO CENTRO DE
 INTELIGÊNCIA DO TRIBUNAL REGIONAL DO TRABALHO DA 9ª REGIÃO.
 DIRETRIZES PARA IDENTIFICAÇÃO E COMBATE. APROVADA PELO GRUPO
 DECISÓRIO DO CENTRO DE INTELIGÊNCIA DO TRIBUNAL REGIONAL DO
 TRABALHO DA 9ª REGIÃO.
 I. Proposta do Grupo Operacional do Centro de Inteligência do TRT9 de adoção de
 diretrizes para a criação de protocolo para identificação e enfrentamento da litigância
 predatória no âmbito do Tribunal Regional do Trabalho da 9ª Região, em observância à
 Recomendação nº 159/2024 do CNJ e à Diretriz Estratégica nº 7 da Corregedoria
 Nacional de Justiça.
 II. A presente nota técnica estabelece diretrizes para o monitoramento de demandas
 predatórias e aplicação de medidas preventivas, além de reforçar a necessidade de
 comunicação entre os órgãos competentes, visando o aprimoramento das práticas
 judiciárias, o combate a comportamentos processuais abusivos e aplicação de
 eventuais medidas preventivas, garantindo sempre ampla divulgação e observância ao
 contraditório.
 III. Previsão de criação de banco de dados e painéis de inteligência para
 acompanhamento e monitoramento das demandas, destacando a cooperação que deve
 existir entre a Unidade de Apoio à Execução e o Centro de Inteligência do TRT9.
 ______________
 Dispositivos relevantes citados:
 Resolução CNJ nº 349/2020, Recomendação CNJ nº 159/2024, Recomendação CNJ nº
 127/2022, Diretriz Estratégica nº 7 da Corregedoria Nacional de Justiça</t>
  </si>
  <si>
    <t>https://formularios-corregedoria.cnj.jus.br/index.php?gf-download=2024%2F11%2FNota-tecnica-14-diretrizes.pdf&amp;form-id=57&amp;field-id=9&amp;hash=d56b0bb2ab9d5c80c21d1a95343d779badb5e3b9070f02eb710ec6dfb09951c7</t>
  </si>
  <si>
    <t>Orientações sobre as cautelas e rigores que devem ser observados para o cancelamento de intimações ao Ministério Público, à
 Defensoria Pública e às Procuradorias Públicas no Portal PROJUDI.</t>
  </si>
  <si>
    <t>https://formularios-corregedoria.cnj.jus.br/index.php?gf-download=2025%2F06%2FNotaTecnica_12_2025.pdf&amp;form-id=57&amp;field-id=9&amp;hash=e4b93b29c5b64fc5f5f34951bb9acd89c60c73d2a3d7211f887a62afe6f9d4dc</t>
  </si>
  <si>
    <t>NOTA TÉCNICA Nº 2/2023</t>
  </si>
  <si>
    <t>JUDICIALIZAÇÃO INDEVIDA NOS JUIZADOS ESPECIAIS - DEMANDAS PREDATÓRIAS E LITIGÂNCIA FABRICADA - AUSÊNCIA DE PLAUSIBILIDADE JURÍDICA.</t>
  </si>
  <si>
    <t>https://formularios-corregedoria.cnj.jus.br/index.php?gf-download=2023%2F11%2Fnota_tecnica_2_demanda_predatoria_vivo.pdf&amp;form-id=57&amp;field-id=9&amp;hash=6b4ddda08421b8f06262a33c1daff9c4008baeae647a10e11073b70afbab0662</t>
  </si>
  <si>
    <t>JUDICIALIZAÇÃO INDEVIDA NOS JUIZADOS ESPECIAIS – DEMANDAS PREDATÓRIAS E LITIGÂNCIA FABRICADA – AUSÊNCIA DE PLAUSIBILIDADE JURÍDICA</t>
  </si>
  <si>
    <t>https://formularios-corregedoria.cnj.jus.br/index.php?gf-download=2023%2F10%2FNota-Tecnica-n.-02.2023-TJSE.pdf&amp;form-id=57&amp;field-id=9&amp;hash=aa404aa9abd538f08ebfd4df689aa215c3889901ea145050d71c7599fdef7a36</t>
  </si>
  <si>
    <t>Nota Técnica 6 - CIJEPI</t>
  </si>
  <si>
    <t>Diante de indícios concretos de demanda predatória, inclusive envolvendo empréstimos consignados, o juiz tem o poder/ dever de agir com adoção de diligências cautelares visando dirigir o processo reprimindo abuso do direito, ato contrário à dignidade da Justiça e à boa-fé, além de assegurar o contraditório e ampla defesa do réu.
 Desta forma, é possível determinar medidas a serem cumpridas pelas partes para a demonstração de que a causa não é temerária, sendo que tais providências não se confundem com as regras processuais comuns utilizadas para as causas sem indícios de atuação predatória.</t>
  </si>
  <si>
    <t>https://formularios-corregedoria.cnj.jus.br/index.php?gf-download=2024%2F04%2FNT-6.pdf&amp;form-id=57&amp;field-id=9&amp;hash=3655b1dfcbf2735a329fd92a70aff54a5b84b0b8fe33dfa1ab8aaeb550b568b5</t>
  </si>
  <si>
    <t>Abordar a temática do ajuizamento consistente de ações de busca e apreensão de bens alienados fiduciariamente, sem o prévio pagamento das custas processuais, de modo que, posteriormente, tais demandas são objeto de extinção/cancelamento de distribuição do feito. Assim, este documento busca estabelecer diretrizes destinadas a proporcionar maior uniformidade e eficácia nas decisões judiciais relacionadas a esses casos, otimizando o entendimento de exigibilidade do adimplemento de custas processuais nos casos de desistência, considerando a competência estadual para dispor acerca das taxas concernentes às prestações de serviços judiciais.</t>
  </si>
  <si>
    <t>https://formularios-corregedoria.cnj.jus.br/index.php?gf-download=2023%2F10%2FNT-10-APROVADA.pdf&amp;form-id=57&amp;field-id=9&amp;hash=82ce101a32ba3230cd181e3e9fb0d8a67d6572c067568ca640998ac0a2ee4608</t>
  </si>
  <si>
    <t>Militar</t>
  </si>
  <si>
    <t>TJMRS</t>
  </si>
  <si>
    <t>De ordem do Excelentíssimo Senhor Presidente em exercício, em atenção a solicitação referente à Recomendação CNJ n. 159/2024, encaminho-lhe o presente Ofício n. 060/2024-Gab. Presidência-TJMRS.
 Atenciosamente,
 Jacqueline Pires
 Gabinete da Presidência.</t>
  </si>
  <si>
    <t>https://formularios-corregedoria.cnj.jus.br/index.php?gf-download=2024%2F12%2FOfu00edcio-n.-060-2024-Gab.-Presidu00eancia-TJMRS.pdf&amp;form-id=57&amp;field-id=9&amp;hash=b481f7acdf43f05169ecdac487da8eb74e5f890ceec8059dc9f71a3cdcc06577</t>
  </si>
  <si>
    <t>Alerta para situações que podem configurar manipulação dos fatos e o uso predatório da Justiça.</t>
  </si>
  <si>
    <t>https://formularios-corregedoria.cnj.jus.br/index.php?gf-download=2025%2F04%2FNota-Tecnica-1.pdf&amp;form-id=57&amp;field-id=9&amp;hash=113980b48ae2a71e3bc03d22c8e7b7c3277266bbd388aa66f41ef8a08febd728</t>
  </si>
  <si>
    <t>Aumento expressivo de demandas repetitivas que versam sobre alegadas fraudes na contratação de empréstimos consignados, envolvendo, em sua maioria, autores que ajuízam múltiplas ações contra diferentes instituições financeiras.</t>
  </si>
  <si>
    <t>https://formularios-corregedoria.cnj.jus.br/index.php?gf-download=2025%2F04%2FNota-Tecnica-2.pdf&amp;form-id=57&amp;field-id=9&amp;hash=e84f97a5419aa9f9b48dde666c33f274648e587a0496ddc5a1acb030023e70b7</t>
  </si>
  <si>
    <t>USO PREDATÓRIO DA JUSTIÇA E DEMANDAS REPETITIVAS - ASSUNTOS MAIS UTILIZADOS: PASEP - PEDIDO INDISCRIMINADO DE JUSTIÇA GRATUITA - USO DE COMPROVANTES DE ENDEREÇOS DE TERCEIROS - VIOLAÇÃO AO PRINCÍPIO DO JUIZ NATURAL</t>
  </si>
  <si>
    <t>https://formularios-corregedoria.cnj.jus.br/index.php?gf-download=2023%2F10%2FNota-Tecnica-3.pdf&amp;form-id=57&amp;field-id=9&amp;hash=bf575b7cd4804909c5e8fa956a32f79a2b5b40a4269cb558dc896ec6bd9864e1</t>
  </si>
  <si>
    <t>Implementação de mecanismos para coibir a judicialização predatória.</t>
  </si>
  <si>
    <t>https://formularios-corregedoria.cnj.jus.br/index.php?gf-download=2024%2F08%2FNota-Tecnica-n.-04-2024.pdf&amp;form-id=57&amp;field-id=9&amp;hash=0e41a335d01356c8ff2469d4401cbbaaf005a762a0bdbf1ba37929daea7701df</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</si>
</sst>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yyyy"/>
    <numFmt numFmtId="166" formatCode="mm-yyyy"/>
    <numFmt numFmtId="167" formatCode="mm/yyyy"/>
    <numFmt numFmtId="168" formatCode="d/m/yyyy"/>
  </numFmts>
  <fonts count="17">
    <font>
      <sz val="10.0"/>
      <color rgb="FF000000"/>
      <name val="Arial"/>
      <scheme val="minor"/>
    </font>
    <font>
      <b/>
      <sz val="14.0"/>
      <color rgb="FF2F618B"/>
      <name val="Roboto"/>
    </font>
    <font>
      <b/>
      <color theme="1"/>
      <name val="Arial"/>
    </font>
    <font/>
    <font>
      <color theme="1"/>
      <name val="Arial"/>
    </font>
    <font>
      <sz val="14.0"/>
      <color rgb="FF2F618B"/>
      <name val="Roboto"/>
    </font>
    <font>
      <sz val="10.0"/>
      <color rgb="FF000000"/>
      <name val="Arial"/>
    </font>
    <font>
      <sz val="11.0"/>
      <color theme="1"/>
      <name val="Calibri"/>
    </font>
    <font>
      <b/>
      <sz val="11.0"/>
      <color theme="1"/>
      <name val="Calibri"/>
    </font>
    <font>
      <b/>
      <sz val="11.0"/>
      <color rgb="FFFFFFFF"/>
      <name val="Roboto"/>
    </font>
    <font>
      <b/>
      <color rgb="FFFFFFFF"/>
      <name val="Arial"/>
    </font>
    <font>
      <sz val="10.0"/>
      <color rgb="FF171C1F"/>
      <name val="Roboto"/>
    </font>
    <font>
      <sz val="11.0"/>
      <color rgb="FF000000"/>
      <name val="Calibri"/>
    </font>
    <font>
      <u/>
      <sz val="10.0"/>
      <color rgb="FF171C1F"/>
      <name val="Roboto"/>
    </font>
    <font>
      <b/>
      <sz val="11.0"/>
      <color rgb="FFFFFFFF"/>
      <name val="Calibri"/>
    </font>
    <font>
      <u/>
      <sz val="11.0"/>
      <color rgb="FF000000"/>
      <name val="Calibri"/>
    </font>
    <font>
      <b/>
      <sz val="10.0"/>
      <color rgb="FF171C1F"/>
      <name val="Roboto"/>
    </font>
  </fonts>
  <fills count="9">
    <fill>
      <patternFill patternType="none"/>
    </fill>
    <fill>
      <patternFill patternType="lightGray"/>
    </fill>
    <fill>
      <patternFill patternType="solid">
        <fgColor rgb="FF425D90"/>
        <bgColor rgb="FF425D90"/>
      </patternFill>
    </fill>
    <fill>
      <patternFill patternType="solid">
        <fgColor rgb="FFDAE2F9"/>
        <bgColor rgb="FFDAE2F9"/>
      </patternFill>
    </fill>
    <fill>
      <patternFill patternType="solid">
        <fgColor rgb="FF2F618B"/>
        <bgColor rgb="FF2F618B"/>
      </patternFill>
    </fill>
    <fill>
      <patternFill patternType="solid">
        <fgColor rgb="FF2B5989"/>
        <bgColor rgb="FF2B5989"/>
      </patternFill>
    </fill>
    <fill>
      <patternFill patternType="solid">
        <fgColor rgb="FFFFFFFF"/>
        <bgColor rgb="FFFFFFFF"/>
      </patternFill>
    </fill>
    <fill>
      <patternFill patternType="solid">
        <fgColor rgb="FFF9F9FF"/>
        <bgColor rgb="FFF9F9FF"/>
      </patternFill>
    </fill>
    <fill>
      <patternFill patternType="solid">
        <fgColor rgb="FF1F4E78"/>
        <bgColor rgb="FF1F4E78"/>
      </patternFill>
    </fill>
  </fills>
  <borders count="12">
    <border/>
    <border>
      <left/>
      <right/>
      <top/>
      <bottom/>
    </border>
    <border>
      <left/>
      <top/>
      <bottom/>
    </border>
    <border>
      <top/>
      <bottom/>
    </border>
    <border>
      <right/>
      <top/>
      <bottom/>
    </border>
    <border>
      <left style="thin">
        <color rgb="FF71777E"/>
      </left>
      <right style="thin">
        <color rgb="FF71777E"/>
      </right>
      <top style="thin">
        <color rgb="FF71777E"/>
      </top>
      <bottom style="thin">
        <color rgb="FF71777E"/>
      </bottom>
    </border>
    <border>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right style="thin">
        <color rgb="FFD9E2F3"/>
      </right>
      <bottom style="thin">
        <color rgb="FFD9E2F3"/>
      </bottom>
    </border>
    <border>
      <bottom style="thin">
        <color rgb="FFD9E2F3"/>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0" fillId="0" fontId="2" numFmtId="0" xfId="0" applyFont="1"/>
    <xf borderId="3" fillId="0" fontId="3" numFmtId="0" xfId="0" applyBorder="1" applyFont="1"/>
    <xf borderId="0" fillId="0" fontId="4" numFmtId="0" xfId="0" applyFont="1"/>
    <xf borderId="0" fillId="2" fontId="5" numFmtId="0" xfId="0" applyAlignment="1" applyFill="1" applyFont="1">
      <alignment horizontal="center" shrinkToFit="0" vertical="center" wrapText="1"/>
    </xf>
    <xf borderId="4" fillId="0" fontId="3" numFmtId="0" xfId="0" applyBorder="1" applyFont="1"/>
    <xf borderId="0" fillId="0" fontId="1" numFmtId="0" xfId="0" applyAlignment="1" applyFont="1">
      <alignment vertical="bottom"/>
    </xf>
    <xf borderId="0" fillId="0" fontId="6" numFmtId="0" xfId="0" applyFont="1"/>
    <xf borderId="0" fillId="2" fontId="1" numFmtId="0" xfId="0" applyAlignment="1" applyFill="1" applyFont="1">
      <alignment horizontal="center" shrinkToFit="0" vertical="center" wrapText="1"/>
    </xf>
    <xf borderId="0" fillId="0" fontId="7" numFmtId="0" xfId="0" applyAlignment="1" applyFont="1">
      <alignment vertical="bottom"/>
    </xf>
    <xf borderId="0" fillId="0" fontId="1" numFmtId="0" xfId="0" applyFont="1"/>
    <xf borderId="1" fillId="3"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0" fillId="3" fontId="1" numFmtId="0" xfId="0" applyAlignment="1" applyFill="1" applyFont="1">
      <alignment horizontal="center" shrinkToFit="0" vertical="center" wrapText="1"/>
    </xf>
    <xf borderId="0" fillId="0" fontId="8" numFmtId="0" xfId="0" applyAlignment="1" applyFont="1">
      <alignment horizontal="center" shrinkToFit="0" vertical="center" wrapText="1"/>
    </xf>
    <xf borderId="0" fillId="0" fontId="2" numFmtId="0" xfId="0" applyAlignment="1" applyFont="1">
      <alignment horizontal="center" shrinkToFit="0" vertical="center" wrapText="1"/>
    </xf>
    <xf borderId="0" fillId="0" fontId="7" numFmtId="0" xfId="0" applyAlignment="1" applyFont="1">
      <alignment shrinkToFit="0" vertical="top" wrapText="1"/>
    </xf>
    <xf borderId="0" fillId="0" fontId="4" numFmtId="0" xfId="0" applyAlignment="1" applyFont="1">
      <alignment shrinkToFit="0" vertical="top" wrapText="1"/>
    </xf>
    <xf borderId="0" fillId="0" fontId="7" numFmtId="0" xfId="0" applyAlignment="1" applyFont="1">
      <alignment shrinkToFit="0" vertical="center" wrapText="1"/>
    </xf>
    <xf borderId="0" fillId="0" fontId="7" numFmtId="0" xfId="0" applyAlignment="1" applyFont="1">
      <alignment horizontal="center" shrinkToFit="0" vertical="top" wrapText="1"/>
    </xf>
    <xf borderId="0" fillId="0" fontId="4" numFmtId="0" xfId="0" applyAlignment="1" applyFont="1">
      <alignment horizontal="center" shrinkToFit="0" vertical="top" wrapText="1"/>
    </xf>
    <xf borderId="5" fillId="4" fontId="9" numFmtId="0" xfId="0" applyAlignment="1" applyBorder="1" applyFill="1" applyFont="1">
      <alignment horizontal="center" shrinkToFit="0" vertical="center" wrapText="1"/>
    </xf>
    <xf borderId="0" fillId="5" fontId="10" numFmtId="0" xfId="0" applyAlignment="1" applyFill="1" applyFont="1">
      <alignment horizontal="center" shrinkToFit="0" vertical="center" wrapText="1"/>
    </xf>
    <xf borderId="5" fillId="6" fontId="11" numFmtId="0" xfId="0" applyAlignment="1" applyBorder="1" applyFill="1" applyFont="1">
      <alignment horizontal="center" shrinkToFit="0" vertical="top" wrapText="1"/>
    </xf>
    <xf borderId="5" fillId="6" fontId="11" numFmtId="0" xfId="0" applyAlignment="1" applyBorder="1" applyFill="1" applyFont="1">
      <alignment horizontal="left" shrinkToFit="0" vertical="top" wrapText="1"/>
    </xf>
    <xf borderId="5" fillId="6" fontId="11" numFmtId="0" xfId="0" applyAlignment="1" applyBorder="1" applyFill="1" applyFont="1">
      <alignment shrinkToFit="0" vertical="top" wrapText="1"/>
    </xf>
    <xf borderId="5" fillId="7" fontId="11" numFmtId="0" xfId="0" applyAlignment="1" applyBorder="1" applyFill="1" applyFont="1">
      <alignment horizontal="center" shrinkToFit="0" vertical="top" wrapText="1"/>
    </xf>
    <xf borderId="5" fillId="7" fontId="11" numFmtId="0" xfId="0" applyAlignment="1" applyBorder="1" applyFill="1" applyFont="1">
      <alignment shrinkToFit="0" vertical="top" wrapText="1"/>
    </xf>
    <xf borderId="5" fillId="7" fontId="11" numFmtId="0" xfId="0" applyAlignment="1" applyBorder="1" applyFill="1" applyFont="1">
      <alignment horizontal="left" shrinkToFit="0" vertical="top" wrapText="1"/>
    </xf>
    <xf borderId="5" fillId="7" fontId="11" numFmtId="0" xfId="0" applyAlignment="1" applyBorder="1" applyFill="1" applyFont="1">
      <alignment horizontal="left" shrinkToFit="0" vertical="center" wrapText="1"/>
    </xf>
    <xf borderId="6" fillId="6" fontId="12" numFmtId="0" xfId="0" applyAlignment="1" applyBorder="1" applyFill="1" applyFont="1">
      <alignment horizontal="left" shrinkToFit="0" vertical="center" wrapText="1"/>
    </xf>
    <xf borderId="7" fillId="6" fontId="12" numFmtId="0" xfId="0" applyAlignment="1" applyBorder="1" applyFill="1" applyFont="1">
      <alignment horizontal="left" shrinkToFit="0" vertical="center" wrapText="1"/>
    </xf>
    <xf borderId="0" fillId="0" fontId="4" numFmtId="0" xfId="0" applyAlignment="1" applyFont="1">
      <alignment shrinkToFit="0" vertical="center" wrapText="1"/>
    </xf>
    <xf borderId="5" fillId="7" fontId="13" numFmtId="0" xfId="0" applyAlignment="1" applyBorder="1" applyFill="1" applyFont="1">
      <alignment shrinkToFit="0" vertical="top" wrapText="1"/>
    </xf>
    <xf borderId="5" fillId="7" fontId="11" numFmtId="0" xfId="0" applyAlignment="1" applyBorder="1" applyFill="1" applyFont="1">
      <alignment shrinkToFit="0" vertical="center" wrapText="1"/>
    </xf>
    <xf borderId="8" fillId="6" fontId="12" numFmtId="0" xfId="0" applyAlignment="1" applyBorder="1" applyFill="1" applyFont="1">
      <alignment horizontal="left" shrinkToFit="0" vertical="center" wrapText="1"/>
    </xf>
    <xf borderId="5" fillId="6" fontId="11" numFmtId="0" xfId="0" applyAlignment="1" applyBorder="1" applyFill="1" applyFont="1">
      <alignment shrinkToFit="0" vertical="center" wrapText="1"/>
    </xf>
    <xf borderId="5" fillId="6" fontId="11" numFmtId="0" xfId="0" applyAlignment="1" applyBorder="1" applyFill="1" applyFont="1">
      <alignment horizontal="left" shrinkToFit="0" vertical="center" wrapText="1"/>
    </xf>
    <xf borderId="5" fillId="0" fontId="11" numFmtId="0" xfId="0" applyAlignment="1" applyBorder="1" applyFont="1">
      <alignment shrinkToFit="0" vertical="top" wrapText="1"/>
    </xf>
    <xf borderId="5" fillId="7" fontId="11"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1"/>
    </xf>
    <xf borderId="9" fillId="8" fontId="14" numFmtId="0" xfId="0" applyAlignment="1" applyBorder="1" applyFill="1" applyFont="1">
      <alignment horizontal="center"/>
    </xf>
    <xf borderId="10" fillId="8" fontId="14" numFmtId="0" xfId="0" applyAlignment="1" applyBorder="1" applyFill="1" applyFont="1">
      <alignment horizontal="center"/>
    </xf>
    <xf borderId="9" fillId="0" fontId="12" numFmtId="0" xfId="0" applyAlignment="1" applyBorder="1" applyFont="1">
      <alignment horizontal="left" vertical="top"/>
    </xf>
    <xf borderId="11" fillId="0" fontId="12" numFmtId="0" xfId="0" applyAlignment="1" applyBorder="1" applyFont="1">
      <alignment horizontal="left" vertical="top"/>
    </xf>
    <xf borderId="11" fillId="0" fontId="12" numFmtId="164" xfId="0" applyAlignment="1" applyBorder="1" applyFont="1" applyNumberFormat="1">
      <alignment horizontal="left" vertical="top"/>
    </xf>
    <xf borderId="10" fillId="0" fontId="15" numFmtId="0" xfId="0" applyAlignment="1" applyBorder="1" applyFont="1">
      <alignment horizontal="left" vertical="top"/>
    </xf>
    <xf borderId="5" fillId="7" fontId="16" numFmtId="0" xfId="0" applyAlignment="1" applyBorder="1" applyFill="1" applyFont="1">
      <alignment horizontal="center" shrinkToFit="0" vertical="top" wrapText="1"/>
    </xf>
    <xf borderId="11" fillId="0" fontId="12" numFmtId="165" xfId="0" applyAlignment="1" applyBorder="1" applyFont="1" applyNumberFormat="1">
      <alignment horizontal="left" vertical="top"/>
    </xf>
    <xf borderId="11" fillId="0" fontId="12" numFmtId="166" xfId="0" applyAlignment="1" applyBorder="1" applyFont="1" applyNumberFormat="1">
      <alignment horizontal="left" vertical="top"/>
    </xf>
    <xf borderId="11" fillId="0" fontId="12" numFmtId="167" xfId="0" applyAlignment="1" applyBorder="1" applyFont="1" applyNumberFormat="1">
      <alignment horizontal="left" vertical="top"/>
    </xf>
    <xf borderId="11" fillId="0" fontId="12" numFmtId="168" xfId="0" applyAlignment="1" applyBorder="1" applyFont="1" applyNumberFormat="1">
      <alignment horizontal="left" vertical="top"/>
    </xf>
    <xf borderId="5" fillId="6" fontId="16" numFmtId="0" xfId="0" applyAlignment="1" applyBorder="1" applyFill="1" applyFont="1">
      <alignment shrinkToFit="0" vertical="top" wrapText="1"/>
    </xf>
  </cellXfs>
  <cellStyles count="1">
    <cellStyle xfId="0" name="Normal" builtinId="0"/>
  </cellStyles>
  <dxfs count="4">
    <dxf>
      <font/>
      <fill>
        <patternFill patternType="solid">
          <fgColor rgb="FFCCE5FF"/>
          <bgColor rgb="FFCCE5FF"/>
        </patternFill>
      </fill>
      <border/>
    </dxf>
    <dxf>
      <font/>
      <fill>
        <patternFill patternType="solid">
          <fgColor rgb="FFFFE5CC"/>
          <bgColor rgb="FFFFE5CC"/>
        </patternFill>
      </fill>
      <border/>
    </dxf>
    <dxf>
      <font/>
      <fill>
        <patternFill patternType="solid">
          <fgColor rgb="FFE5FFCC"/>
          <bgColor rgb="FFE5FFCC"/>
        </patternFill>
      </fill>
      <border/>
    </dxf>
    <dxf>
      <font/>
      <fill>
        <patternFill patternType="solid">
          <fgColor rgb="FFFFCCE5"/>
          <bgColor rgb="FFFFCCE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x.doi.org/10.1590/2317-617220194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x.doi.org/10.1590/2317-617220194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formularios-corregedoria.cnj.jus.br/index.php?gf-download=2024%2F12%2Fnota_tecnica_no_3-2024_-clip-sjrj.pdf&amp;form-id=57&amp;field-id=9&amp;hash=8037543825182ecc976b10c1354436aa64e73a1ff96cf291f28eab7dce4011cc" TargetMode="External"/><Relationship Id="rId42" Type="http://schemas.openxmlformats.org/officeDocument/2006/relationships/hyperlink" Target="https://formularios-corregedoria.cnj.jus.br/index.php?gf-download=2023%2F10%2FNota-Tecnica-n.-01.2023-TJRO.pdf&amp;form-id=57&amp;field-id=9&amp;hash=25293e4dbe7ce7f32eb2affb1a630fd6eced8eeb563e681f31d1b74e0c7e480c" TargetMode="External"/><Relationship Id="rId41" Type="http://schemas.openxmlformats.org/officeDocument/2006/relationships/hyperlink" Target="https://formularios-corregedoria.cnj.jus.br/index.php?gf-download=2025%2F05%2FSEI_7790160_Nota_Tecnica.pdf&amp;form-id=57&amp;field-id=9&amp;hash=ada94c0c19d86d7cc893ba4b87b4ce93b1ab87748c422dc1e035e7bf351ce293" TargetMode="External"/><Relationship Id="rId44" Type="http://schemas.openxmlformats.org/officeDocument/2006/relationships/hyperlink" Target="https://formularios-corregedoria.cnj.jus.br/index.php?gf-download=2024%2F01%2FNOTA-TECNICA-No-4-2023-Tratamento-de-demandas-predatorias.pdf&amp;form-id=57&amp;field-id=9&amp;hash=447390395cbb65219091d5138b675a3d57d6a3a100b84919eff85f9f0025561f" TargetMode="External"/><Relationship Id="rId43" Type="http://schemas.openxmlformats.org/officeDocument/2006/relationships/hyperlink" Target="https://formularios-corregedoria.cnj.jus.br/index.php?gf-download=2023%2F10%2FTrf2-nota-tecnica-2022-04.pdf&amp;form-id=57&amp;field-id=9&amp;hash=9f2c3236238f6e5a126ccad72aef88cf83ad00c7d7e8fb01f069f2ac082c10b6" TargetMode="External"/><Relationship Id="rId46" Type="http://schemas.openxmlformats.org/officeDocument/2006/relationships/hyperlink" Target="https://formularios-corregedoria.cnj.jus.br/index.php?gf-download=2025%2F04%2FNota_Tecnica_No_11_-_CINUGEP.TJTO.pdf&amp;form-id=57&amp;field-id=9&amp;hash=543c2687534e23f0fc53b47635917c1e56693cf10e73e6f722f5ac3defa3b0e8" TargetMode="External"/><Relationship Id="rId45" Type="http://schemas.openxmlformats.org/officeDocument/2006/relationships/hyperlink" Target="https://formularios-corregedoria.cnj.jus.br/index.php?gf-download=2026%2F02%2FSEI_1436460_Nota_Tecnica.pdf&amp;form-id=57&amp;field-id=9&amp;hash=09049ae1bc3459e03328ee53f1f742f9a7dabcf1173190c27206a8a0ad5355db" TargetMode="External"/><Relationship Id="rId107" Type="http://schemas.openxmlformats.org/officeDocument/2006/relationships/hyperlink" Target="https://formularios-corregedoria.cnj.jus.br/index.php?gf-download=2023%2F10%2FNota-Tecnica-n.-02.2023-TJRJ.pdf&amp;form-id=57&amp;field-id=9&amp;hash=db7c73c7655898d5acb419160d8474a0ebda16ec4ac31429ac49f4f7bed412f9" TargetMode="External"/><Relationship Id="rId106" Type="http://schemas.openxmlformats.org/officeDocument/2006/relationships/hyperlink" Target="https://formularios-corregedoria.cnj.jus.br/index.php?gf-download=2023%2F10%2FNota-Tecnica-n.-06.2023-TJPR.pdf&amp;form-id=57&amp;field-id=9&amp;hash=2c8ff0fcc1001c0a0f93f90f7191f80c6e0222a20342eac6e81ff5553ee67fbb" TargetMode="External"/><Relationship Id="rId105" Type="http://schemas.openxmlformats.org/officeDocument/2006/relationships/hyperlink" Target="https://formularios-corregedoria.cnj.jus.br/index.php?gf-download=2023%2F11%2F2notatecnicaci.pdf&amp;form-id=57&amp;field-id=9&amp;hash=b92f34865bcd49fba8a9af2206bc571f4241a83adb7d10923e3f030a149cd240" TargetMode="External"/><Relationship Id="rId104" Type="http://schemas.openxmlformats.org/officeDocument/2006/relationships/hyperlink" Target="https://formularios-corregedoria.cnj.jus.br/index.php?gf-download=2023%2F11%2FNOTA-TECNICA-no-01-2023-TEMA-JUDICIALIZACAO-PREDATORIA.pdf&amp;form-id=57&amp;field-id=9&amp;hash=ceb6bb0d7e3df508822e77ab469b1f9ecd08f3266fa0470b15a2db41e8f6755c" TargetMode="External"/><Relationship Id="rId109" Type="http://schemas.openxmlformats.org/officeDocument/2006/relationships/hyperlink" Target="https://formularios-corregedoria.cnj.jus.br/index.php?gf-download=2023%2F10%2FNota-Tecnica-2-Adesao-a-Nota-Tecnica-1-do-TJRN.pdf&amp;form-id=57&amp;field-id=9&amp;hash=3ad83ad969f518423d1e28cc6175d86a12dd3dad0802dbff68cfafb2303e2737" TargetMode="External"/><Relationship Id="rId108" Type="http://schemas.openxmlformats.org/officeDocument/2006/relationships/hyperlink" Target="https://formularios-corregedoria.cnj.jus.br/index.php?gf-download=2025%2F06%2FNotaTecnica_062023.pdf&amp;form-id=57&amp;field-id=9&amp;hash=9b8fb902b2ba9623bd91bef48511d846c86dc3e0935af689f2ddbee8dfe23121" TargetMode="External"/><Relationship Id="rId48" Type="http://schemas.openxmlformats.org/officeDocument/2006/relationships/hyperlink" Target="https://formularios-corregedoria.cnj.jus.br/index.php?gf-download=2025%2F11%2F1-NT-01-2019.pdf&amp;form-id=57&amp;field-id=9&amp;hash=1a27ac1bd3805dd9817077ee8e7aedbd41eaed2544e9a3bec3ee5da3a4dc75f3" TargetMode="External"/><Relationship Id="rId47" Type="http://schemas.openxmlformats.org/officeDocument/2006/relationships/hyperlink" Target="https://formularios-corregedoria.cnj.jus.br/index.php?gf-download=2024%2F06%2FNota-Tecnica-Centro-de-Inteligencia-09-2024.pdf&amp;form-id=57&amp;field-id=9&amp;hash=f1e76763ddc22c8f38f1949963d05845383e98e4dbca474557cec0d369c27a9c" TargetMode="External"/><Relationship Id="rId49" Type="http://schemas.openxmlformats.org/officeDocument/2006/relationships/hyperlink" Target="https://formularios-corregedoria.cnj.jus.br/index.php?gf-download=2024%2F01%2FNota-Tecnica-10-CIMG-3.pdf&amp;form-id=57&amp;field-id=9&amp;hash=1352b7d1032a7f755257ba4137e4dd51261b2331c517da914ed7fd9582a6a6b8" TargetMode="External"/><Relationship Id="rId103" Type="http://schemas.openxmlformats.org/officeDocument/2006/relationships/hyperlink" Target="https://formularios-corregedoria.cnj.jus.br/index.php?gf-download=2023%2F10%2FNOTA-TECNICA-05-2022-CRI-1.pdf&amp;form-id=57&amp;field-id=9&amp;hash=16fac9b087d02d7c039c03bf4b7bd33285c8ef599c4e8f01ad9b64ca2cd5e88d" TargetMode="External"/><Relationship Id="rId102" Type="http://schemas.openxmlformats.org/officeDocument/2006/relationships/hyperlink" Target="https://formularios-corregedoria.cnj.jus.br/index.php?gf-download=2024%2F02%2FNota-Tecnica-01-2024.pdf&amp;form-id=57&amp;field-id=9&amp;hash=855de23c20c30322533d33aa89a8a5ff3aebbd10f8b3841e512ba8a415914837" TargetMode="External"/><Relationship Id="rId101" Type="http://schemas.openxmlformats.org/officeDocument/2006/relationships/hyperlink" Target="https://formularios-corregedoria.cnj.jus.br/index.php?gf-download=2026%2F01%2FNT13.pdf&amp;form-id=57&amp;field-id=9&amp;hash=4de991acb5adb2136713ac9eca068f380d1cf79e8a2c1f323f60174cb02d48af" TargetMode="External"/><Relationship Id="rId100" Type="http://schemas.openxmlformats.org/officeDocument/2006/relationships/hyperlink" Target="https://formularios-corregedoria.cnj.jus.br/index.php?gf-download=2026%2F02%2FNOTA-TECNICA-No-13-2025-Fracionamento-de-Demandas.pdf&amp;form-id=57&amp;field-id=9&amp;hash=3f00cdd11e136b9fbafe07a6b3ce563ca4ded1b4df87a789c3a66026b1bfc95c" TargetMode="External"/><Relationship Id="rId31" Type="http://schemas.openxmlformats.org/officeDocument/2006/relationships/hyperlink" Target="https://formularios-corregedoria.cnj.jus.br/index.php?gf-download=2023%2F11%2F6_2023_CEIJAP_NT_DEMANDAS_PREDATORIAS_PBA_E_VITORIA_DO_JARI_-_DJE_146.pdf&amp;form-id=57&amp;field-id=9&amp;hash=ecc73d5fbef1a3e4e1508e49c5e9059322ff410dd90912d4dbb6fc27804b666c" TargetMode="External"/><Relationship Id="rId30" Type="http://schemas.openxmlformats.org/officeDocument/2006/relationships/hyperlink" Target="https://formularios-corregedoria.cnj.jus.br/index.php?gf-download=2024%2F11%2FNota_Tecnica-02-2024.pdf&amp;form-id=57&amp;field-id=9&amp;hash=62b46578174e0880a1b71eeb574fbf6015924fff159198575324dd2149684993" TargetMode="External"/><Relationship Id="rId33" Type="http://schemas.openxmlformats.org/officeDocument/2006/relationships/hyperlink" Target="https://formularios-corregedoria.cnj.jus.br/index.php?gf-download=2025%2F04%2FNota-Tecnica-9.pdf&amp;form-id=57&amp;field-id=9&amp;hash=9fe9f28d95c6384b3226503f9337edecddb1307f306883164a42a3c8d792389e" TargetMode="External"/><Relationship Id="rId183" Type="http://schemas.openxmlformats.org/officeDocument/2006/relationships/drawing" Target="../drawings/drawing8.xml"/><Relationship Id="rId32" Type="http://schemas.openxmlformats.org/officeDocument/2006/relationships/hyperlink" Target="https://formularios-corregedoria.cnj.jus.br/index.php?gf-download=2023%2F10%2F6_2023_CEIJAP_NT_DEMANDAS_PREDATORIAS_PBA_E_VITORIA_DO_JARI_-_DJE_146.pdf&amp;form-id=57&amp;field-id=9&amp;hash=e8dab41532a6dacba83b2c83a00202df1ec3eb5a3e24d5f1a1772958a722029c" TargetMode="External"/><Relationship Id="rId182" Type="http://schemas.openxmlformats.org/officeDocument/2006/relationships/hyperlink" Target="https://formularios-corregedoria.cnj.jus.br/index.php?gf-download=2024%2F08%2FNota-Tecnica-n.-04-2024.pdf&amp;form-id=57&amp;field-id=9&amp;hash=0e41a335d01356c8ff2469d4401cbbaaf005a762a0bdbf1ba37929daea7701df" TargetMode="External"/><Relationship Id="rId35" Type="http://schemas.openxmlformats.org/officeDocument/2006/relationships/hyperlink" Target="https://formularios-corregedoria.cnj.jus.br/index.php?gf-download=2024%2F05%2FNota-Tecnica-no-03-2024.pdf&amp;form-id=57&amp;field-id=9&amp;hash=309aaa3c9fb2cd17d079e7a5570345262aa0065b495d3caec381d5c2a6e7ef4e" TargetMode="External"/><Relationship Id="rId181" Type="http://schemas.openxmlformats.org/officeDocument/2006/relationships/hyperlink" Target="https://formularios-corregedoria.cnj.jus.br/index.php?gf-download=2023%2F10%2FNota-Tecnica-3.pdf&amp;form-id=57&amp;field-id=9&amp;hash=bf575b7cd4804909c5e8fa956a32f79a2b5b40a4269cb558dc896ec6bd9864e1" TargetMode="External"/><Relationship Id="rId34" Type="http://schemas.openxmlformats.org/officeDocument/2006/relationships/hyperlink" Target="https://formularios-corregedoria.cnj.jus.br/index.php?gf-download=2025%2F04%2FNota_Tecnica_8_-_CINUGEP.pdf&amp;form-id=57&amp;field-id=9&amp;hash=10d0aad19c811b7ebded4416407f9a580f3409cf1747713fad3a9c067cb9bd02" TargetMode="External"/><Relationship Id="rId180" Type="http://schemas.openxmlformats.org/officeDocument/2006/relationships/hyperlink" Target="https://formularios-corregedoria.cnj.jus.br/index.php?gf-download=2025%2F04%2FNota-Tecnica-2.pdf&amp;form-id=57&amp;field-id=9&amp;hash=e84f97a5419aa9f9b48dde666c33f274648e587a0496ddc5a1acb030023e70b7" TargetMode="External"/><Relationship Id="rId37" Type="http://schemas.openxmlformats.org/officeDocument/2006/relationships/hyperlink" Target="https://formularios-corregedoria.cnj.jus.br/index.php?gf-download=2024%2F07%2Fnota_tecnica_002-2024_publicacao.pdf&amp;form-id=57&amp;field-id=9&amp;hash=5c6511b09180fa3aeadb4788661879d1c1ea4d7803c9045422669e2465b90ab6" TargetMode="External"/><Relationship Id="rId176" Type="http://schemas.openxmlformats.org/officeDocument/2006/relationships/hyperlink" Target="https://formularios-corregedoria.cnj.jus.br/index.php?gf-download=2024%2F04%2FNT-6.pdf&amp;form-id=57&amp;field-id=9&amp;hash=3655b1dfcbf2735a329fd92a70aff54a5b84b0b8fe33dfa1ab8aaeb550b568b5" TargetMode="External"/><Relationship Id="rId36" Type="http://schemas.openxmlformats.org/officeDocument/2006/relationships/hyperlink" Target="https://formularios-corregedoria.cnj.jus.br/index.php?gf-download=2024%2F12%2FNota-tu00e9cnica-nu00ba-01.2024-adesu00e3o-NT-n.-03.2022-do-CIJESC.pdf&amp;form-id=57&amp;field-id=9&amp;hash=a6502b8436bcc8e2c0a7b46e76508068c01dad94c4acade29471c6b74352b9aa" TargetMode="External"/><Relationship Id="rId175" Type="http://schemas.openxmlformats.org/officeDocument/2006/relationships/hyperlink" Target="https://formularios-corregedoria.cnj.jus.br/index.php?gf-download=2023%2F10%2FNota-Tecnica-n.-02.2023-TJSE.pdf&amp;form-id=57&amp;field-id=9&amp;hash=aa404aa9abd538f08ebfd4df689aa215c3889901ea145050d71c7599fdef7a36" TargetMode="External"/><Relationship Id="rId39" Type="http://schemas.openxmlformats.org/officeDocument/2006/relationships/hyperlink" Target="https://formularios-corregedoria.cnj.jus.br/index.php?gf-download=2023%2F10%2FNota-Tecnica-n.-01.2022-TJRO.pdf&amp;form-id=57&amp;field-id=9&amp;hash=23a71fafd788551b16798556623ac6fcf7e67854f2f3117efc12a14fccf33ada" TargetMode="External"/><Relationship Id="rId174" Type="http://schemas.openxmlformats.org/officeDocument/2006/relationships/hyperlink" Target="https://formularios-corregedoria.cnj.jus.br/index.php?gf-download=2023%2F11%2Fnota_tecnica_2_demanda_predatoria_vivo.pdf&amp;form-id=57&amp;field-id=9&amp;hash=6b4ddda08421b8f06262a33c1daff9c4008baeae647a10e11073b70afbab0662" TargetMode="External"/><Relationship Id="rId38" Type="http://schemas.openxmlformats.org/officeDocument/2006/relationships/hyperlink" Target="https://formularios-corregedoria.cnj.jus.br/index.php?gf-download=2025%2F12%2FNota-Tecnica-CIJUSPE-TJPE-N.-11-2025.pdf&amp;form-id=57&amp;field-id=9&amp;hash=5bb977bc5c5adbfa82b07c8791103ce8b5206420ffb61e440981e23c3c7bdb7c" TargetMode="External"/><Relationship Id="rId173" Type="http://schemas.openxmlformats.org/officeDocument/2006/relationships/hyperlink" Target="https://formularios-corregedoria.cnj.jus.br/index.php?gf-download=2025%2F06%2FNotaTecnica_12_2025.pdf&amp;form-id=57&amp;field-id=9&amp;hash=e4b93b29c5b64fc5f5f34951bb9acd89c60c73d2a3d7211f887a62afe6f9d4dc" TargetMode="External"/><Relationship Id="rId179" Type="http://schemas.openxmlformats.org/officeDocument/2006/relationships/hyperlink" Target="https://formularios-corregedoria.cnj.jus.br/index.php?gf-download=2025%2F04%2FNota-Tecnica-1.pdf&amp;form-id=57&amp;field-id=9&amp;hash=113980b48ae2a71e3bc03d22c8e7b7c3277266bbd388aa66f41ef8a08febd728" TargetMode="External"/><Relationship Id="rId178" Type="http://schemas.openxmlformats.org/officeDocument/2006/relationships/hyperlink" Target="https://formularios-corregedoria.cnj.jus.br/index.php?gf-download=2024%2F12%2FOfu00edcio-n.-060-2024-Gab.-Presidu00eancia-TJMRS.pdf&amp;form-id=57&amp;field-id=9&amp;hash=b481f7acdf43f05169ecdac487da8eb74e5f890ceec8059dc9f71a3cdcc06577" TargetMode="External"/><Relationship Id="rId177" Type="http://schemas.openxmlformats.org/officeDocument/2006/relationships/hyperlink" Target="https://formularios-corregedoria.cnj.jus.br/index.php?gf-download=2023%2F10%2FNT-10-APROVADA.pdf&amp;form-id=57&amp;field-id=9&amp;hash=82ce101a32ba3230cd181e3e9fb0d8a67d6572c067568ca640998ac0a2ee4608" TargetMode="External"/><Relationship Id="rId20" Type="http://schemas.openxmlformats.org/officeDocument/2006/relationships/hyperlink" Target="https://formularios-corregedoria.cnj.jus.br/index.php?gf-download=2023%2F11%2FNT005-2023-PainelMonitoramentoDemandas.pdf&amp;form-id=57&amp;field-id=9&amp;hash=54b97b36400056edb68c59a4c6ecbe624b7f688740ad28724d4e3413a34d1eed" TargetMode="External"/><Relationship Id="rId22" Type="http://schemas.openxmlformats.org/officeDocument/2006/relationships/hyperlink" Target="https://formularios-corregedoria.cnj.jus.br/index.php?gf-download=2023%2F10%2FMicrosoft-Word-NOTA-TEI%E2%80%A0CNICA-3.2022-final.pdf&amp;form-id=57&amp;field-id=9&amp;hash=85bf4da768a9a7afd9b1c31a2c0bba3d1bf6e06ce681fb59c4646e0d96be0211" TargetMode="External"/><Relationship Id="rId21" Type="http://schemas.openxmlformats.org/officeDocument/2006/relationships/hyperlink" Target="https://formularios-corregedoria.cnj.jus.br/index.php?gf-download=2025%2F11%2F7-NT-01-2021.pdf&amp;form-id=57&amp;field-id=9&amp;hash=5cf0269b8d12687b8c1878a6a2a960dddf70c34905ff4156acdb8e809dd54466" TargetMode="External"/><Relationship Id="rId24" Type="http://schemas.openxmlformats.org/officeDocument/2006/relationships/hyperlink" Target="https://formularios-corregedoria.cnj.jus.br/index.php?gf-download=2024%2F02%2FNT-nu00ba-7-2024-PASEP.pdf&amp;form-id=57&amp;field-id=9&amp;hash=6993445ae1b36f95a015d2f53ce630632cac2d50ae030a79438b7435e8947bf4" TargetMode="External"/><Relationship Id="rId23" Type="http://schemas.openxmlformats.org/officeDocument/2006/relationships/hyperlink" Target="https://formularios-corregedoria.cnj.jus.br/index.php?gf-download=2024%2F02%2FNOTA-TECNICA-No-7-2024-NTEC-32024.pdf&amp;form-id=57&amp;field-id=9&amp;hash=c30f44d5080110826c77ceae61a2c25d32f07cffe34df74d2bfce1cd6baca2b5" TargetMode="External"/><Relationship Id="rId129" Type="http://schemas.openxmlformats.org/officeDocument/2006/relationships/hyperlink" Target="https://formularios-corregedoria.cnj.jus.br/index.php?gf-download=2023%2F12%2FNota_Tecnica_No_12_-_CINUGEP.TJTO-5.pdf&amp;form-id=57&amp;field-id=9&amp;hash=1af8a8633649a43e4d65015f2ab2a19e99bf8f09a9a31d5089b56ae5668f3297" TargetMode="External"/><Relationship Id="rId128" Type="http://schemas.openxmlformats.org/officeDocument/2006/relationships/hyperlink" Target="https://formularios-corregedoria.cnj.jus.br/index.php?gf-download=2023%2F10%2FNota-Tecnica-n.-04.2023-TJAP.pdf&amp;form-id=57&amp;field-id=9&amp;hash=b7f66a5256ae1653342468742174021cda79841480e04e650a1ce8c9999bc718" TargetMode="External"/><Relationship Id="rId127" Type="http://schemas.openxmlformats.org/officeDocument/2006/relationships/hyperlink" Target="https://formularios-corregedoria.cnj.jus.br/index.php?gf-download=2024%2F04%2FNT-8.pdf&amp;form-id=57&amp;field-id=9&amp;hash=2fc22dcf20309c27d3cc3a5e19886a4e21e58ca096ea302e214cb7cd594b4acb" TargetMode="External"/><Relationship Id="rId126" Type="http://schemas.openxmlformats.org/officeDocument/2006/relationships/hyperlink" Target="https://formularios-corregedoria.cnj.jus.br/index.php?gf-download=2025%2F05%2Fjbc12_sei_7748006_nota_tecnica.pdf&amp;form-id=57&amp;field-id=9&amp;hash=a17d8fadabf12ced671ba50bab8ed6e114a96c8d7b62df109acb94b8b9f73eb7" TargetMode="External"/><Relationship Id="rId26" Type="http://schemas.openxmlformats.org/officeDocument/2006/relationships/hyperlink" Target="https://formularios-corregedoria.cnj.jus.br/index.php?gf-download=2024%2F12%2FNota-tecnica-no-04.2024-recomendacao-a-SETIM.pdf&amp;form-id=57&amp;field-id=9&amp;hash=49c6b6532e7ad68b6527f7926073358fe044bef14bd22b0918377827964dafa3" TargetMode="External"/><Relationship Id="rId121" Type="http://schemas.openxmlformats.org/officeDocument/2006/relationships/hyperlink" Target="https://formularios-corregedoria.cnj.jus.br/index.php?gf-download=2023%2F10%2FNOTA-Tu00c9CNICA-03-2022.pdf&amp;form-id=57&amp;field-id=9&amp;hash=ee068f8412379820b501e3d25bdad9e7465e8937f3986bafadaed764c90d3cda" TargetMode="External"/><Relationship Id="rId25" Type="http://schemas.openxmlformats.org/officeDocument/2006/relationships/hyperlink" Target="https://formularios-corregedoria.cnj.jus.br/index.php?gf-download=2023%2F10%2FNota-Tecnica-PN009.2023.pdf&amp;form-id=57&amp;field-id=9&amp;hash=b94ee8fc435fa45554331f96e8aae2ad8f2d17504d95c376646c591b03c51937" TargetMode="External"/><Relationship Id="rId120" Type="http://schemas.openxmlformats.org/officeDocument/2006/relationships/hyperlink" Target="https://formularios-corregedoria.cnj.jus.br/index.php?gf-download=2023%2F10%2FNota-Tecnica-n.-01.2022-TJAL1.pdf&amp;form-id=57&amp;field-id=9&amp;hash=6ad4a1b4b97d7f9398139d1d552a7769474f8812200e732818bfd07872513a63" TargetMode="External"/><Relationship Id="rId28" Type="http://schemas.openxmlformats.org/officeDocument/2006/relationships/hyperlink" Target="https://formularios-corregedoria.cnj.jus.br/index.php?gf-download=2024%2F12%2FNota-Tecnica-12-CI-TRT11-GIGS-suspeita-de-litigancia-abusiva.pdf&amp;form-id=57&amp;field-id=9&amp;hash=2bd1acca484cbf2e6150fd6b6ae74dd5ead54533fc8ded10fffb15aa5104f7c9" TargetMode="External"/><Relationship Id="rId27" Type="http://schemas.openxmlformats.org/officeDocument/2006/relationships/hyperlink" Target="https://formularios-corregedoria.cnj.jus.br/index.php?gf-download=2024%2F10%2FNota-Tecnica-n.-05-2024.pdf&amp;form-id=57&amp;field-id=9&amp;hash=2e3bf2b53b9e932d33dde9a07b8fcfe070f75b576d9a217a5d199c06c09d9b4c" TargetMode="External"/><Relationship Id="rId125" Type="http://schemas.openxmlformats.org/officeDocument/2006/relationships/hyperlink" Target="https://formularios-corregedoria.cnj.jus.br/index.php?gf-download=2024%2F02%2FNota-Tecnica-no-02-2024.pdf&amp;form-id=57&amp;field-id=9&amp;hash=ee30243b7a795c8e6c58ad2342096ecc9c4dc3ee8860234d0499669833c7356f" TargetMode="External"/><Relationship Id="rId29" Type="http://schemas.openxmlformats.org/officeDocument/2006/relationships/hyperlink" Target="https://formularios-corregedoria.cnj.jus.br/index.php?gf-download=2024%2F06%2FNOTA-TECNICA-No-7-2024-NTEC-32024.pdf&amp;form-id=57&amp;field-id=9&amp;hash=6e3a7389a096861b1966ec1bc09c32cb146c224a14e1755756cb13d1814ec648" TargetMode="External"/><Relationship Id="rId124" Type="http://schemas.openxmlformats.org/officeDocument/2006/relationships/hyperlink" Target="https://formularios-corregedoria.cnj.jus.br/index.php?gf-download=2024%2F01%2FACT-072.2023-Monitoramento-e-a-Gesta%CC%83o-Adequadas-das-Demandas-Precato%CC%81rias.pdf&amp;form-id=57&amp;field-id=9&amp;hash=46954cb0ba99ab3964ea778345885a6ba765dfa490c98853c224853af54e0dc5" TargetMode="External"/><Relationship Id="rId123" Type="http://schemas.openxmlformats.org/officeDocument/2006/relationships/hyperlink" Target="https://formularios-corregedoria.cnj.jus.br/index.php?gf-download=2023%2F10%2FNOTA-TECNICA-22-2022-Demandas-Predatorias.pdf&amp;form-id=57&amp;field-id=9&amp;hash=8e8c233df1417320eaadbe774954075e9be52276cd8c170f3aa56c10beaa7f0a" TargetMode="External"/><Relationship Id="rId122" Type="http://schemas.openxmlformats.org/officeDocument/2006/relationships/hyperlink" Target="https://formularios-corregedoria.cnj.jus.br/index.php?gf-download=2023%2F10%2FNota-Tecnica-n.-03.2022-TJRO.pdf&amp;form-id=57&amp;field-id=9&amp;hash=76c1ae7a89a1389d7269d75c1c3e5d62eb5c1deaca185e473561170fcf969134" TargetMode="External"/><Relationship Id="rId95" Type="http://schemas.openxmlformats.org/officeDocument/2006/relationships/hyperlink" Target="https://formularios-corregedoria.cnj.jus.br/index.php?gf-download=2023%2F10%2FNota-Tecnica-n.-01.2022-TJGO.pdf&amp;form-id=57&amp;field-id=9&amp;hash=1502f1a1ba9a205e9d998a38f5e3eba77666ed27f685caa72e093ca62d4672bf" TargetMode="External"/><Relationship Id="rId94" Type="http://schemas.openxmlformats.org/officeDocument/2006/relationships/hyperlink" Target="https://formularios-corregedoria.cnj.jus.br/index.php?gf-download=2025%2F02%2FTJSP-Enunciados-Litigancia-Predatoria-da-Corregedoria-Geral-da-Justica.pdf&amp;form-id=57&amp;field-id=9&amp;hash=67bb80c4e71a974211775f50154f5e2fadff30edb395ef2463d23ef8cbb737a4" TargetMode="External"/><Relationship Id="rId97" Type="http://schemas.openxmlformats.org/officeDocument/2006/relationships/hyperlink" Target="https://formularios-corregedoria.cnj.jus.br/index.php?gf-download=2023%2F10%2FNT-02-2022.pdf&amp;form-id=57&amp;field-id=9&amp;hash=50905b7bae254107b558346cadf570c59fe63e0fdc03056db3250ca4797cf460" TargetMode="External"/><Relationship Id="rId96" Type="http://schemas.openxmlformats.org/officeDocument/2006/relationships/hyperlink" Target="https://formularios-corregedoria.cnj.jus.br/index.php?gf-download=2024%2F09%2FNOTA-TECNICA-No-9-2024-NTEC-172024.pdf&amp;form-id=57&amp;field-id=9&amp;hash=f7723cb49bd2bfabf20ce424b7b692a78251e7170b357e84f911c486846d15cb" TargetMode="External"/><Relationship Id="rId11" Type="http://schemas.openxmlformats.org/officeDocument/2006/relationships/hyperlink" Target="https://formularios-corregedoria.cnj.jus.br/index.php?gf-download=2025%2F05%2FNotaTecnica_11_2025.pdf&amp;form-id=57&amp;field-id=9&amp;hash=eb699d6dbaec56b12955aa188eaac02ccd9341a3da00b767367fcf32baf11010" TargetMode="External"/><Relationship Id="rId99" Type="http://schemas.openxmlformats.org/officeDocument/2006/relationships/hyperlink" Target="https://formularios-corregedoria.cnj.jus.br/index.php?gf-download=2023%2F10%2FRelatorio-Numopede-2018-2019.pdf&amp;form-id=57&amp;field-id=9&amp;hash=4c06ca1614c407a77841c2f7cda93b4063d36ecce7bef7bc411a5b654531ba38" TargetMode="External"/><Relationship Id="rId10" Type="http://schemas.openxmlformats.org/officeDocument/2006/relationships/hyperlink" Target="https://formularios-corregedoria.cnj.jus.br/index.php?gf-download=2024%2F10%2FNota_Tecnica_CI_n_006.pdf&amp;form-id=57&amp;field-id=9&amp;hash=71055c8ec22fff6ef6a394f3ba64d483ba21616af685a67c7d023c0d4bdb0acc" TargetMode="External"/><Relationship Id="rId98" Type="http://schemas.openxmlformats.org/officeDocument/2006/relationships/hyperlink" Target="https://formularios-corregedoria.cnj.jus.br/index.php?gf-download=2023%2F10%2FCertidao-diretriz-71.pdf&amp;form-id=57&amp;field-id=9&amp;hash=5dc6a0517ff7fbe67f3cffe1eb7825dc9223c8d74215c3bd5df33451ed53aa9f" TargetMode="External"/><Relationship Id="rId13" Type="http://schemas.openxmlformats.org/officeDocument/2006/relationships/hyperlink" Target="https://formularios-corregedoria.cnj.jus.br/index.php?gf-download=2025%2F02%2FTJSP-Comunicado-CG-931.2024.pdf&amp;form-id=57&amp;field-id=9&amp;hash=135ea2da10f5cd30194257f96c4f8b05a2e7708218ed553f89ccc79e8fbfa637" TargetMode="External"/><Relationship Id="rId12" Type="http://schemas.openxmlformats.org/officeDocument/2006/relationships/hyperlink" Target="https://formularios-corregedoria.cnj.jus.br/index.php?gf-download=2024%2F07%2FDOCUMENTO-Nota-Tecnica-CI-no-7-2024.pdf-0624847.pdf&amp;form-id=57&amp;field-id=9&amp;hash=fcd97ef5f55948b2eb6d4d7484980199470e0410724b2e5375db16875437df34" TargetMode="External"/><Relationship Id="rId91" Type="http://schemas.openxmlformats.org/officeDocument/2006/relationships/hyperlink" Target="https://formularios-corregedoria.cnj.jus.br/index.php?gf-download=2023%2F10%2FNota-Tecnica-n.-05.2023-TJMA.pdf&amp;form-id=57&amp;field-id=9&amp;hash=2e229afe7b898ddcf784f8516999835e80889fe12761ca30e7282c682ee2e48e" TargetMode="External"/><Relationship Id="rId90" Type="http://schemas.openxmlformats.org/officeDocument/2006/relationships/hyperlink" Target="https://formularios-corregedoria.cnj.jus.br/index.php?gf-download=2024%2F06%2FNOTA-TECNICA-No-8-2024-NTEC-142024.pdf&amp;form-id=57&amp;field-id=9&amp;hash=a80c6545cc9157f738d04c3db6a391888ce46aebcd88082a2a8735537e18166c" TargetMode="External"/><Relationship Id="rId93" Type="http://schemas.openxmlformats.org/officeDocument/2006/relationships/hyperlink" Target="https://formularios-corregedoria.cnj.jus.br/index.php?gf-download=2023%2F10%2FNota-tecnica-PN010.2023.pdf&amp;form-id=57&amp;field-id=9&amp;hash=000e7a523479dd7073d6c3921003dac1b205189534c33feed0c9b9ba03cf9a9d" TargetMode="External"/><Relationship Id="rId92" Type="http://schemas.openxmlformats.org/officeDocument/2006/relationships/hyperlink" Target="https://formularios-corregedoria.cnj.jus.br/index.php?gf-download=2023%2F10%2FNota-Tecnica-n.-05.2023-TJGO.pdf&amp;form-id=57&amp;field-id=9&amp;hash=6949ebf85ee942929299c366b209d490ba213ec1bf7db872e5813c1ffcf0e599" TargetMode="External"/><Relationship Id="rId118" Type="http://schemas.openxmlformats.org/officeDocument/2006/relationships/hyperlink" Target="https://formularios-corregedoria.cnj.jus.br/index.php?gf-download=2024%2F11%2FNT-03-2024.pdf&amp;form-id=57&amp;field-id=9&amp;hash=640256106b26f78bb2e5f48e53f15c659e4090a9aca182b6aa7fe6107eeeb235" TargetMode="External"/><Relationship Id="rId117" Type="http://schemas.openxmlformats.org/officeDocument/2006/relationships/hyperlink" Target="https://formularios-corregedoria.cnj.jus.br/index.php?gf-download=2023%2F10%2FCIJESC-Nota-Tecnica-04-2023.-Abuso-do-direito-de-demandar-no-JEC.pdf&amp;form-id=57&amp;field-id=9&amp;hash=cebe55866ffb2f04637cd8b997fab240e908fb1179851b46ede03e259073491d" TargetMode="External"/><Relationship Id="rId116" Type="http://schemas.openxmlformats.org/officeDocument/2006/relationships/hyperlink" Target="https://formularios-corregedoria.cnj.jus.br/index.php?gf-download=2025%2F05%2Fjbc12_nota-tecnica-001-dano-moral1.pdf&amp;form-id=57&amp;field-id=9&amp;hash=46b5ab68e7c210ae305f0c5ce75bcd469ae8127f6b2be905a1e239f7cf5cf06b" TargetMode="External"/><Relationship Id="rId115" Type="http://schemas.openxmlformats.org/officeDocument/2006/relationships/hyperlink" Target="https://formularios-corregedoria.cnj.jus.br/index.php?gf-download=2025%2F05%2FNT-12.-2025-Litigancia-Abusiva1.pdf&amp;form-id=57&amp;field-id=9&amp;hash=498e3e2e24b920078aac9095e8fce3e7c7a98561a58bad912f16f6a5ddfa3a9e" TargetMode="External"/><Relationship Id="rId119" Type="http://schemas.openxmlformats.org/officeDocument/2006/relationships/hyperlink" Target="https://formularios-corregedoria.cnj.jus.br/index.php?gf-download=2023%2F10%2FNota-Tecnica-n.-01.2022-TJAL.pdf&amp;form-id=57&amp;field-id=9&amp;hash=e26bf1a0f58db6b5de09e29a3a1155acabbba34135f3dab565d51e8f27aa4fb0" TargetMode="External"/><Relationship Id="rId15" Type="http://schemas.openxmlformats.org/officeDocument/2006/relationships/hyperlink" Target="https://formularios-corregedoria.cnj.jus.br/index.php?gf-download=2024%2F12%2FNota-tecnica-no-03.2024-codigos-de-movimentacao-TPU.pdf&amp;form-id=57&amp;field-id=9&amp;hash=27d28671482cc060da0e8bc92e13e3c0f32fa8ac426ec75db5fc40e96876c666" TargetMode="External"/><Relationship Id="rId110" Type="http://schemas.openxmlformats.org/officeDocument/2006/relationships/hyperlink" Target="https://formularios-corregedoria.cnj.jus.br/index.php?gf-download=2023%2F10%2FNota_Tecnica_No_13_-_CINUGEP.TJTO.pdf&amp;form-id=57&amp;field-id=9&amp;hash=12edd054d3c83cf26ba0f14aecf802cbfe07d89d2658f7baf2f1b2ea0dd99cb3" TargetMode="External"/><Relationship Id="rId14" Type="http://schemas.openxmlformats.org/officeDocument/2006/relationships/hyperlink" Target="https://formularios-corregedoria.cnj.jus.br/index.php?gf-download=2026%2F01%2FNota-Tecnica-no-004-2025.pdf&amp;form-id=57&amp;field-id=9&amp;hash=f17eef00728d7f1ed2c9697af4aa27c9832a15888b8d2fc4d5131da7fbf160d7" TargetMode="External"/><Relationship Id="rId17" Type="http://schemas.openxmlformats.org/officeDocument/2006/relationships/hyperlink" Target="https://formularios-corregedoria.cnj.jus.br/index.php?gf-download=2025%2F11%2F3-NT-03-2020.pdf&amp;form-id=57&amp;field-id=9&amp;hash=fb69feb2f66abc0bc37a47ee88333118d34ebc92b0a069d722dc4a440e2fa090" TargetMode="External"/><Relationship Id="rId16" Type="http://schemas.openxmlformats.org/officeDocument/2006/relationships/hyperlink" Target="https://formularios-corregedoria.cnj.jus.br/index.php?gf-download=2023%2F10%2FNota_Tecnica_No_10_-_CINUGEP_06.032023_-_com_anexo.pdf&amp;form-id=57&amp;field-id=9&amp;hash=fab09e26c7fef64eb02d56652795684673b5d814533220a947a7441c05524c29" TargetMode="External"/><Relationship Id="rId19" Type="http://schemas.openxmlformats.org/officeDocument/2006/relationships/hyperlink" Target="https://formularios-corregedoria.cnj.jus.br/index.php?gf-download=2026%2F04%2FNTC-04-2025.pdf&amp;form-id=57&amp;field-id=9&amp;hash=fbc25528f841dd0b0cb7b3fa685e09ea177a3c38ec01a2a7cb799ef5d26ae1c9" TargetMode="External"/><Relationship Id="rId114" Type="http://schemas.openxmlformats.org/officeDocument/2006/relationships/hyperlink" Target="https://formularios-corregedoria.cnj.jus.br/index.php?gf-download=2025%2F05%2FNT-12.-2025-Litigancia-Abusiva.pdf&amp;form-id=57&amp;field-id=9&amp;hash=1f34af4749303f7014cec8540856d97ca1ae87888a0cacf06ddeb4792e92d3b3" TargetMode="External"/><Relationship Id="rId18" Type="http://schemas.openxmlformats.org/officeDocument/2006/relationships/hyperlink" Target="https://formularios-corregedoria.cnj.jus.br/index.php?gf-download=2025%2F05%2FSEI_7779961_Nota_Tecnica.pdf&amp;form-id=57&amp;field-id=9&amp;hash=680e5dfdfe09b6eb264ea280edbf7806a1b2b1f8b466c910ac56cbed68efc78d" TargetMode="External"/><Relationship Id="rId113" Type="http://schemas.openxmlformats.org/officeDocument/2006/relationships/hyperlink" Target="https://formularios-corregedoria.cnj.jus.br/index.php?gf-download=2025%2F11%2F4-NT-04-2020.pdf&amp;form-id=57&amp;field-id=9&amp;hash=ca91c1a4fc3ad6983721b76c47645d27a5b33cd99898819ea560ef99fb21a718" TargetMode="External"/><Relationship Id="rId112" Type="http://schemas.openxmlformats.org/officeDocument/2006/relationships/hyperlink" Target="https://formularios-corregedoria.cnj.jus.br/index.php?gf-download=2023%2F10%2FNota-Tecnica-n.-06.2022-TJPA.pdf&amp;form-id=57&amp;field-id=9&amp;hash=f61c0f12b3120f382cf490640f84163df5611c3d8520cebbc05cc46760c25700" TargetMode="External"/><Relationship Id="rId111" Type="http://schemas.openxmlformats.org/officeDocument/2006/relationships/hyperlink" Target="https://formularios-corregedoria.cnj.jus.br/index.php?gf-download=2024%2F12%2FProcesso_-0000160-23.2024.5.08.0006-litigancia-predatoria.pdf&amp;form-id=57&amp;field-id=9&amp;hash=04645658ffb2d95936fb35badd1ba240f61bdccb09dcd7fa5b9d3cbc69495c83" TargetMode="External"/><Relationship Id="rId84" Type="http://schemas.openxmlformats.org/officeDocument/2006/relationships/hyperlink" Target="https://formularios-corregedoria.cnj.jus.br/index.php?gf-download=2025%2F06%2FNotaTecnica_042023.pdf&amp;form-id=57&amp;field-id=9&amp;hash=3a06319d6bc2edc26c679fc6ae9f5f7f2a4fee9809e7abb9ae1c5921fc4f73df" TargetMode="External"/><Relationship Id="rId83" Type="http://schemas.openxmlformats.org/officeDocument/2006/relationships/hyperlink" Target="https://formularios-corregedoria.cnj.jus.br/index.php?gf-download=2024%2F07%2Fnota15.pdf&amp;form-id=57&amp;field-id=9&amp;hash=902ee1c00aa18064b6a96945fe1ead0ff0000b4b0666cbcfa9d38de220de5238" TargetMode="External"/><Relationship Id="rId86" Type="http://schemas.openxmlformats.org/officeDocument/2006/relationships/hyperlink" Target="https://formularios-corregedoria.cnj.jus.br/index.php?gf-download=2024%2F12%2FNota-Tecnica-n.-02-CIJUSPE.pdf&amp;form-id=57&amp;field-id=9&amp;hash=89fabe3de9d4db1ecae1342e6d61644b3937e52a6bf9cc9363eba9a5f9cf7737" TargetMode="External"/><Relationship Id="rId85" Type="http://schemas.openxmlformats.org/officeDocument/2006/relationships/hyperlink" Target="https://formularios-corregedoria.cnj.jus.br/index.php?gf-download=2023%2F11%2FNT005-2023.pdf&amp;form-id=57&amp;field-id=9&amp;hash=3bb07d7c036add0815881a26112b3324dd66d11335d456345c77d77f7367f50a" TargetMode="External"/><Relationship Id="rId88" Type="http://schemas.openxmlformats.org/officeDocument/2006/relationships/hyperlink" Target="https://formularios-corregedoria.cnj.jus.br/index.php?gf-download=2024%2F07%2FNota_Tecnica-16.pdf&amp;form-id=57&amp;field-id=9&amp;hash=6577eca639bc8a956c9f4506c43904131a7463224f94a0340233eb1e594ba281" TargetMode="External"/><Relationship Id="rId150" Type="http://schemas.openxmlformats.org/officeDocument/2006/relationships/hyperlink" Target="https://formularios-corregedoria.cnj.jus.br/index.php?gf-download=2025%2F07%2Fnota-tecnica-1.2025.pdf&amp;form-id=57&amp;field-id=9&amp;hash=99b0d8ed4100746a11ad8e9f9b8220b5b1b4a83c4d2411c5d1858a946e5e3213" TargetMode="External"/><Relationship Id="rId87" Type="http://schemas.openxmlformats.org/officeDocument/2006/relationships/hyperlink" Target="https://formularios-corregedoria.cnj.jus.br/index.php?gf-download=2025%2F06%2FNotaTecnica_13_2025.pdf&amp;form-id=57&amp;field-id=9&amp;hash=56a1ede88fe68e59995e63a2dcae46b7a266966c8ccdd42687fb2b2573371654" TargetMode="External"/><Relationship Id="rId89" Type="http://schemas.openxmlformats.org/officeDocument/2006/relationships/hyperlink" Target="https://formularios-corregedoria.cnj.jus.br/index.php?gf-download=2024%2F07%2FNota_Tecnica-161.pdf&amp;form-id=57&amp;field-id=9&amp;hash=68b1b63ef2e68983c2297f4b475f1e7624e5c8b04482f89503d4743a62a1f43a" TargetMode="External"/><Relationship Id="rId80" Type="http://schemas.openxmlformats.org/officeDocument/2006/relationships/hyperlink" Target="https://formularios-corregedoria.cnj.jus.br/index.php?gf-download=2024%2F05%2FNT001-2024.pdf&amp;form-id=57&amp;field-id=9&amp;hash=5a1266763ddd6362cc5fa959d8bf306705a2c806537af0e9222fb0fc31ca063e" TargetMode="External"/><Relationship Id="rId82" Type="http://schemas.openxmlformats.org/officeDocument/2006/relationships/hyperlink" Target="https://formularios-corregedoria.cnj.jus.br/index.php?gf-download=2024%2F06%2FNota-Tecnica-Centro-de-Inteligencia-07-2024.pdf&amp;form-id=57&amp;field-id=9&amp;hash=abcb4a94d1c80d302dedc93bfd3e8044defe42d1ab11eea773d39ee076360a6f" TargetMode="External"/><Relationship Id="rId81" Type="http://schemas.openxmlformats.org/officeDocument/2006/relationships/hyperlink" Target="https://formularios-corregedoria.cnj.jus.br/index.php?gf-download=2024%2F06%2FNota-Tecnica-Centro-de-Inteligencia-08-2024.pdf&amp;form-id=57&amp;field-id=9&amp;hash=2e1e171655b51e4e83abcd312179fef83bfc6470837a721ebdb2f5ae0ece769e" TargetMode="External"/><Relationship Id="rId1" Type="http://schemas.openxmlformats.org/officeDocument/2006/relationships/hyperlink" Target="https://formularios-corregedoria.cnj.jus.br/index.php?gf-download=2024%2F04%2FSEI_7149331_Nota_Tecnica-31.pdf&amp;form-id=57&amp;field-id=9&amp;hash=8c746d77fa2e12d80a73e5fbe353b8e4dbb22f1d5f7b4d37137d7f99dc46c099" TargetMode="External"/><Relationship Id="rId2" Type="http://schemas.openxmlformats.org/officeDocument/2006/relationships/hyperlink" Target="https://formularios-corregedoria.cnj.jus.br/index.php?gf-download=2024%2F04%2FSEI_7149331_Nota_Tecnica-3.pdf&amp;form-id=57&amp;field-id=9&amp;hash=727a963a43d42b19bf3a5a2c3e6c407554ae69df4306819be400088d8d4bd935" TargetMode="External"/><Relationship Id="rId3" Type="http://schemas.openxmlformats.org/officeDocument/2006/relationships/hyperlink" Target="https://formularios-corregedoria.cnj.jus.br/index.php?gf-download=2025%2F02%2FTJSP-Criacao-do-Nucleo-4.0-Grandes-Litigantes-Pessoas-Fisicas.pdf&amp;form-id=57&amp;field-id=9&amp;hash=d9595968aacc4794230f317907905203950c29ac0551af31435ea7016ada2519" TargetMode="External"/><Relationship Id="rId149" Type="http://schemas.openxmlformats.org/officeDocument/2006/relationships/hyperlink" Target="https://formularios-corregedoria.cnj.jus.br/index.php?gf-download=2025%2F07%2Fnota-tecnica2.2025.pdf&amp;form-id=57&amp;field-id=9&amp;hash=0e2bf00c5b5dfe3634539041ee7f672a162f7291b5e3d4d7219f3eded6e8395b" TargetMode="External"/><Relationship Id="rId4" Type="http://schemas.openxmlformats.org/officeDocument/2006/relationships/hyperlink" Target="https://formularios-corregedoria.cnj.jus.br/index.php?gf-download=2023%2F10%2FRelatorio-Numopede-2016.pdf&amp;form-id=57&amp;field-id=9&amp;hash=c4620f0f97c77ffc4c5d33ea221fcffd08fb0b5daf3a82cc0389cf68b99d44d4" TargetMode="External"/><Relationship Id="rId148" Type="http://schemas.openxmlformats.org/officeDocument/2006/relationships/hyperlink" Target="https://formularios-corregedoria.cnj.jus.br/index.php?gf-download=2023%2F10%2FN001_2022.pdf&amp;form-id=57&amp;field-id=9&amp;hash=710104ed2b7723a6b65ff104219fcb7822da631cb320cdc22a22ba1647c0e23f" TargetMode="External"/><Relationship Id="rId9" Type="http://schemas.openxmlformats.org/officeDocument/2006/relationships/hyperlink" Target="https://formularios-corregedoria.cnj.jus.br/index.php?gf-download=2023%2F10%2FNota-Tecnica-n.-03.2023-TJRJ.pdf&amp;form-id=57&amp;field-id=9&amp;hash=23439997640578dbabeb7ad6c3b8a35fdb727765e1a21baf99c832cfc8a00705" TargetMode="External"/><Relationship Id="rId143" Type="http://schemas.openxmlformats.org/officeDocument/2006/relationships/hyperlink" Target="https://formularios-corregedoria.cnj.jus.br/index.php?gf-download=2025%2F06%2FCI-NOTA-TECNICA-N.-31_2025.pdf&amp;form-id=57&amp;field-id=9&amp;hash=402634062654a986e23b8a17dfa0c2ce0d8363409c97e241cdbb8b638fe896d7" TargetMode="External"/><Relationship Id="rId142" Type="http://schemas.openxmlformats.org/officeDocument/2006/relationships/hyperlink" Target="https://formularios-corregedoria.cnj.jus.br/index.php?gf-download=2025%2F07%2FNota_Tecnica_CIJDF_15_2025___Fracionamento_Abusivo_de_Demandas___texto_final_de_25_2_2025.pdf&amp;form-id=57&amp;field-id=9&amp;hash=841648b1811ba86c99d08ed33b649ae5ee9ef4fc00bb861f0c50034bfe066d60" TargetMode="External"/><Relationship Id="rId141" Type="http://schemas.openxmlformats.org/officeDocument/2006/relationships/hyperlink" Target="https://formularios-corregedoria.cnj.jus.br/index.php?gf-download=2026%2F07%2FanexoEmailEproc_1769789977-50119199120254047204-Evento-30-DESPADEC1.pdf&amp;form-id=57&amp;field-id=9&amp;hash=4bfb17a004309945659fffcad18cc133da792f711198ae3125080017dc61432c" TargetMode="External"/><Relationship Id="rId140" Type="http://schemas.openxmlformats.org/officeDocument/2006/relationships/hyperlink" Target="https://formularios-corregedoria.cnj.jus.br/index.php?gf-download=2025%2F04%2FNota-Tecnica-4.pdf&amp;form-id=57&amp;field-id=9&amp;hash=c1c3bd5840be45e9bb67dd6375d64dc40e83633e57135c29fc4b7d078c6a891b" TargetMode="External"/><Relationship Id="rId5" Type="http://schemas.openxmlformats.org/officeDocument/2006/relationships/hyperlink" Target="https://formularios-corregedoria.cnj.jus.br/index.php?gf-download=2025%2F06%2FNOTA-TECNICA-No-1-2025-Modulacao-da-Gratuidade-da-Justica.pdf&amp;form-id=57&amp;field-id=9&amp;hash=572778af03a348f844f948996f2d19d20a211b3c3edea844f6d77222feb7768e" TargetMode="External"/><Relationship Id="rId147" Type="http://schemas.openxmlformats.org/officeDocument/2006/relationships/hyperlink" Target="https://formularios-corregedoria.cnj.jus.br/index.php?gf-download=2023%2F10%2FOficio-2023.325-Informa-ao-CNJ-sobre-nao-aplicacao-do-formulario-litigancia-predatoria.pdf&amp;form-id=57&amp;field-id=9&amp;hash=5d26e86987c5ce008d6c315cb86de65c792f0d7938d5f74544f50584b69cf923" TargetMode="External"/><Relationship Id="rId6" Type="http://schemas.openxmlformats.org/officeDocument/2006/relationships/hyperlink" Target="https://formularios-corregedoria.cnj.jus.br/index.php?gf-download=2023%2F10%2FRelatorio-Numopede-2020-2021.pdf&amp;form-id=57&amp;field-id=9&amp;hash=4f5b70d1dabadd2e338e44eafb70410c90498dc3c7e2c2639704be58f1ae82af" TargetMode="External"/><Relationship Id="rId146" Type="http://schemas.openxmlformats.org/officeDocument/2006/relationships/hyperlink" Target="https://formularios-corregedoria.cnj.jus.br/index.php?gf-download=2024%2F10%2FNota-Tecnica-11-2024-TRT11.-Litigancia-Predatoria_Assinada.pdf&amp;form-id=57&amp;field-id=9&amp;hash=1dfef2ffe8609d950b5c514977d0c6a3187b6efad71f40b6bfda4be9a7457a36" TargetMode="External"/><Relationship Id="rId7" Type="http://schemas.openxmlformats.org/officeDocument/2006/relationships/hyperlink" Target="https://formularios-corregedoria.cnj.jus.br/index.php?gf-download=2026%2F04%2FNTC-01-2020.pdf&amp;form-id=57&amp;field-id=9&amp;hash=c919dcab43e0eb4531c95812c893a09589fc95f0ce89154035864f3bc133de1b" TargetMode="External"/><Relationship Id="rId145" Type="http://schemas.openxmlformats.org/officeDocument/2006/relationships/hyperlink" Target="https://formularios-corregedoria.cnj.jus.br/index.php?gf-download=2024%2F10%2FNT-8-CIJECE-ADESAO-NT-12-CIJMG-versao-final.pdf&amp;form-id=57&amp;field-id=9&amp;hash=93019e0c15f87039c80bd261712c22545520db6b7b18a6b4d96e4892eef55a7b" TargetMode="External"/><Relationship Id="rId8" Type="http://schemas.openxmlformats.org/officeDocument/2006/relationships/hyperlink" Target="https://formularios-corregedoria.cnj.jus.br/index.php?gf-download=2024%2F11%2FNota_Tecnica-01-2024.pdf&amp;form-id=57&amp;field-id=9&amp;hash=0e7331f7c74b676ba700a402a93d12150c7942da22f826eeac5d9e3af8ac22c3" TargetMode="External"/><Relationship Id="rId144" Type="http://schemas.openxmlformats.org/officeDocument/2006/relationships/hyperlink" Target="https://formularios-corregedoria.cnj.jus.br/index.php?gf-download=2024%2F12%2FNotaTecnica2024_01Centro-local-de-inteligencia-sjes-emprestimos-consignados-inss-assinada_0.pdf&amp;form-id=57&amp;field-id=9&amp;hash=7fa5a8bbc230062c7aa0dd309a85c9285fdccfe2c6e43a75f8b4f4b9b1dc08c6" TargetMode="External"/><Relationship Id="rId73" Type="http://schemas.openxmlformats.org/officeDocument/2006/relationships/hyperlink" Target="https://formularios-corregedoria.cnj.jus.br/index.php?gf-download=2025%2F11%2F5-NT-05-2020.pdf&amp;form-id=57&amp;field-id=9&amp;hash=eadd32de776f4451c95a91135e90360d8a9e5257bd03ea332a9cecee274f852d" TargetMode="External"/><Relationship Id="rId72" Type="http://schemas.openxmlformats.org/officeDocument/2006/relationships/hyperlink" Target="https://formularios-corregedoria.cnj.jus.br/index.php?gf-download=2025%2F04%2FNota-Tecnica-6.pdf&amp;form-id=57&amp;field-id=9&amp;hash=264521dfc473a8723d13050be22db36fae6878045988022cd67d2e3ca5bc4292" TargetMode="External"/><Relationship Id="rId75" Type="http://schemas.openxmlformats.org/officeDocument/2006/relationships/hyperlink" Target="https://formularios-corregedoria.cnj.jus.br/index.php?gf-download=2026%2F03%2FNOTA-TECNICA-No-11-2025-Litigancia-Predatoria-e-Sancoes.pdf&amp;form-id=57&amp;field-id=9&amp;hash=5053b47b0bc5f8f2a1ad98ff744c8251e19e9c95e1290d80099052d795847051" TargetMode="External"/><Relationship Id="rId74" Type="http://schemas.openxmlformats.org/officeDocument/2006/relationships/hyperlink" Target="https://formularios-corregedoria.cnj.jus.br/index.php?gf-download=2023%2F10%2FCIJESC-Nota-Tecnica-n.-06-2023.pdf&amp;form-id=57&amp;field-id=9&amp;hash=8530229a2376eb3ab4bffbd72c9268e33161f4fc8ee069c011777f36996087c9" TargetMode="External"/><Relationship Id="rId77" Type="http://schemas.openxmlformats.org/officeDocument/2006/relationships/hyperlink" Target="https://formularios-corregedoria.cnj.jus.br/index.php?gf-download=2023%2F10%2FNota-Tecnica-n.-06.2022-TJBA.pdf&amp;form-id=57&amp;field-id=9&amp;hash=4c4acd03d20b1a98081ba5a8512011df502a8bf84f495ebed916cfefed566caa" TargetMode="External"/><Relationship Id="rId76" Type="http://schemas.openxmlformats.org/officeDocument/2006/relationships/hyperlink" Target="https://formularios-corregedoria.cnj.jus.br/index.php?gf-download=2025%2F06%2FNotaTecnica_022022.pdf&amp;form-id=57&amp;field-id=9&amp;hash=bd90051ec1ce6fb11d0035cbefc3cb05c97257b4eb9d7738b5d0b04a91b8421d" TargetMode="External"/><Relationship Id="rId79" Type="http://schemas.openxmlformats.org/officeDocument/2006/relationships/hyperlink" Target="https://formularios-corregedoria.cnj.jus.br/index.php?gf-download=2024%2F11%2FNota-tecnica7.pdf&amp;form-id=57&amp;field-id=9&amp;hash=6d1d37a52e7fc022dcc22e9662e82f8890199a546878020e462bf0b68800148f" TargetMode="External"/><Relationship Id="rId78" Type="http://schemas.openxmlformats.org/officeDocument/2006/relationships/hyperlink" Target="https://formularios-corregedoria.cnj.jus.br/index.php?gf-download=2023%2F10%2FNota-Tecnica-n.-08.2022-TJBA.pdf&amp;form-id=57&amp;field-id=9&amp;hash=97f0459c6774db8901aa06aa0b7b8aba2218a75dd93dae5a113ae99ae6001bdb" TargetMode="External"/><Relationship Id="rId71" Type="http://schemas.openxmlformats.org/officeDocument/2006/relationships/hyperlink" Target="https://formularios-corregedoria.cnj.jus.br/index.php?gf-download=2025%2F04%2FNota-Tecnica-7.pdf&amp;form-id=57&amp;field-id=9&amp;hash=a44a62c98c3002fd99bc8bcfed37fd9fe0435691aa9a1425f3e553fdbd8464d8" TargetMode="External"/><Relationship Id="rId70" Type="http://schemas.openxmlformats.org/officeDocument/2006/relationships/hyperlink" Target="https://formularios-corregedoria.cnj.jus.br/index.php?gf-download=2026%2F03%2FNota-Tecnica-n.-8-2025.pdf&amp;form-id=57&amp;field-id=9&amp;hash=12f07936665ba5d8ad50989b985222b1853219da8e931f9037afcc0fae6da463" TargetMode="External"/><Relationship Id="rId139" Type="http://schemas.openxmlformats.org/officeDocument/2006/relationships/hyperlink" Target="https://formularios-corregedoria.cnj.jus.br/index.php?gf-download=2023%2F10%2FNota-Tecnica-5.pdf&amp;form-id=57&amp;field-id=9&amp;hash=cfd0e06b36a189fabdf50e4dcf7ac7d7586745d8d6dac7b0cd83378237ed26f9" TargetMode="External"/><Relationship Id="rId138" Type="http://schemas.openxmlformats.org/officeDocument/2006/relationships/hyperlink" Target="https://formularios-corregedoria.cnj.jus.br/index.php?gf-download=2023%2F10%2FNota-Tecnica-n.-01.2022-TJAM.pdf&amp;form-id=57&amp;field-id=9&amp;hash=681a9e69153622d7686f9a9674dbba4ebdbc894c4e9faf173bc01e2077ff5bed" TargetMode="External"/><Relationship Id="rId137" Type="http://schemas.openxmlformats.org/officeDocument/2006/relationships/hyperlink" Target="https://formularios-corregedoria.cnj.jus.br/index.php?gf-download=2024%2F07%2FNota_Tecnica_14_CINUGEP_TJTO_-5.pdf&amp;form-id=57&amp;field-id=9&amp;hash=f28715c5fcfc1295057fe628f4520310473fba3c045e7a97543e08fbf0093a96" TargetMode="External"/><Relationship Id="rId132" Type="http://schemas.openxmlformats.org/officeDocument/2006/relationships/hyperlink" Target="https://formularios-corregedoria.cnj.jus.br/index.php?gf-download=2023%2F10%2FNOTA-TEiCNICA-No-5-CIJECE1.pdf&amp;form-id=57&amp;field-id=9&amp;hash=44915b89560e2e0e24cba06119d7e89d3ce7efdbb1cad458c2d5a2f41b27d27f" TargetMode="External"/><Relationship Id="rId131" Type="http://schemas.openxmlformats.org/officeDocument/2006/relationships/hyperlink" Target="https://formularios-corregedoria.cnj.jus.br/index.php?gf-download=2023%2F10%2FNOTA-TEiCNICA-No-5-CIJECE.pdf&amp;form-id=57&amp;field-id=9&amp;hash=7a4100ba4be672dd51d38567f48bce56517ea3a7117541b779a8aa2a5dad3490" TargetMode="External"/><Relationship Id="rId130" Type="http://schemas.openxmlformats.org/officeDocument/2006/relationships/hyperlink" Target="https://formularios-corregedoria.cnj.jus.br/index.php?gf-download=2023%2F10%2FNota-Tecnica-n.-01.2022-TJMG.pdf&amp;form-id=57&amp;field-id=9&amp;hash=7f454cf58afe940a462a93866402a2d57e1bfec282613745d46bdb43883cd184" TargetMode="External"/><Relationship Id="rId136" Type="http://schemas.openxmlformats.org/officeDocument/2006/relationships/hyperlink" Target="https://formularios-corregedoria.cnj.jus.br/index.php?gf-download=2024%2F12%2Foriginal0842352024072466a0f6bbb7022.pdf&amp;form-id=57&amp;field-id=9&amp;hash=8d8d21d1fc0508fe2fb91a3433ef0e1b535a63c73ac0b0be2b521f0adda70486" TargetMode="External"/><Relationship Id="rId135" Type="http://schemas.openxmlformats.org/officeDocument/2006/relationships/hyperlink" Target="https://formularios-corregedoria.cnj.jus.br/index.php?gf-download=2024%2F12%2Foriginal0905482024072466a0fc2c90400.pdf&amp;form-id=57&amp;field-id=9&amp;hash=38f7718e83205a1f1f104621f5a82e3102dbfb0bdc6f154221e0c58bf0aa7678" TargetMode="External"/><Relationship Id="rId134" Type="http://schemas.openxmlformats.org/officeDocument/2006/relationships/hyperlink" Target="https://formularios-corregedoria.cnj.jus.br/index.php?gf-download=2024%2F12%2Foriginal0915242024072466a0fe6ccd3e4.pdf&amp;form-id=57&amp;field-id=9&amp;hash=aa891796fe46830a46cd88bec2d74271ba9a8cd87c19e242c23cd572b593bfb7" TargetMode="External"/><Relationship Id="rId133" Type="http://schemas.openxmlformats.org/officeDocument/2006/relationships/hyperlink" Target="https://formularios-corregedoria.cnj.jus.br/index.php?gf-download=2023%2F10%2FNota-Tecnica-n.-06.2023-TJSC.pdf&amp;form-id=57&amp;field-id=9&amp;hash=136d17c54f61a52d8f9a1e4f04765a9221456a0793eb3046c7860bb367615fe8" TargetMode="External"/><Relationship Id="rId62" Type="http://schemas.openxmlformats.org/officeDocument/2006/relationships/hyperlink" Target="https://formularios-corregedoria.cnj.jus.br/index.php?gf-download=2023%2F10%2FNOTA-TECNICA-02-2022.pdf&amp;form-id=57&amp;field-id=9&amp;hash=0bb4ef0c1467662aa22770978f640006bf0b7988b4dbf881997a8001d42a1364" TargetMode="External"/><Relationship Id="rId61" Type="http://schemas.openxmlformats.org/officeDocument/2006/relationships/hyperlink" Target="https://formularios-corregedoria.cnj.jus.br/index.php?gf-download=2023%2F10%2FNota-Tecnica-n.-01.2022-TJSE.pdf&amp;form-id=57&amp;field-id=9&amp;hash=ee595e01a1daeb8b0c51904ee35d27b793b7dd43a970b5f6a411bd04bce78dc0" TargetMode="External"/><Relationship Id="rId64" Type="http://schemas.openxmlformats.org/officeDocument/2006/relationships/hyperlink" Target="https://formularios-corregedoria.cnj.jus.br/index.php?gf-download=2025%2F06%2FNotaTecnica_032022.pdf&amp;form-id=57&amp;field-id=9&amp;hash=74aaa04473cf1ff8d75b9436800998f57bbf9d043060f7a5aa9d20e9795befe5" TargetMode="External"/><Relationship Id="rId63" Type="http://schemas.openxmlformats.org/officeDocument/2006/relationships/hyperlink" Target="https://formularios-corregedoria.cnj.jus.br/index.php?gf-download=2023%2F10%2FNota-Tecnica-n.-02.2022-TJSE.pdf&amp;form-id=57&amp;field-id=9&amp;hash=1c78b0884b53818326e158a7b8d23b1633338c58e834c81881653aefeb303540" TargetMode="External"/><Relationship Id="rId66" Type="http://schemas.openxmlformats.org/officeDocument/2006/relationships/hyperlink" Target="https://formularios-corregedoria.cnj.jus.br/index.php?gf-download=2026%2F03%2FNota-Tecnica-n.-5-2025.pdf&amp;form-id=57&amp;field-id=9&amp;hash=a93d48968e2ced1b9a4006cbe37ae71db5e627d90d420c58b4733ad8567f1f8f" TargetMode="External"/><Relationship Id="rId172" Type="http://schemas.openxmlformats.org/officeDocument/2006/relationships/hyperlink" Target="https://formularios-corregedoria.cnj.jus.br/index.php?gf-download=2024%2F11%2FNota-tecnica-14-diretrizes.pdf&amp;form-id=57&amp;field-id=9&amp;hash=d56b0bb2ab9d5c80c21d1a95343d779badb5e3b9070f02eb710ec6dfb09951c7" TargetMode="External"/><Relationship Id="rId65" Type="http://schemas.openxmlformats.org/officeDocument/2006/relationships/hyperlink" Target="https://formularios-corregedoria.cnj.jus.br/index.php?gf-download=2023%2F11%2FNota-Tecnica-No06-2022-CIJEPA.pdf&amp;form-id=57&amp;field-id=9&amp;hash=d8cf7814d6aeec1f67911d8da24eb29966a170872933df4ca1e6cbd223a30a73" TargetMode="External"/><Relationship Id="rId171" Type="http://schemas.openxmlformats.org/officeDocument/2006/relationships/hyperlink" Target="https://formularios-corregedoria.cnj.jus.br/index.php?gf-download=2023%2F10%2FNOTA-TECNICA-PN008.2022.pdf&amp;form-id=57&amp;field-id=9&amp;hash=04dc42730119441d7f681149a9c354bbf0dd90fe3333cbf4b681a34f439b34e2" TargetMode="External"/><Relationship Id="rId68" Type="http://schemas.openxmlformats.org/officeDocument/2006/relationships/hyperlink" Target="https://formularios-corregedoria.cnj.jus.br/index.php?gf-download=2026%2F03%2FNota-Tecnica-n.-7-20251.pdf&amp;form-id=57&amp;field-id=9&amp;hash=af995f7fbbb3384d6dc75840c2703ba8a3474af23e63debef24c51f1fc1f66e4" TargetMode="External"/><Relationship Id="rId170" Type="http://schemas.openxmlformats.org/officeDocument/2006/relationships/hyperlink" Target="https://formularios-corregedoria.cnj.jus.br/index.php?gf-download=2023%2F10%2FNOTA-TECNICA-PN006.20221.pdf&amp;form-id=57&amp;field-id=9&amp;hash=806775011c7c79a8d6a6cc4a00dacf3c30cbe2b5204e431ae2265ad6daa13254" TargetMode="External"/><Relationship Id="rId67" Type="http://schemas.openxmlformats.org/officeDocument/2006/relationships/hyperlink" Target="https://formularios-corregedoria.cnj.jus.br/index.php?gf-download=2026%2F03%2FNota-Tecnica-n.-7-2025.pdf&amp;form-id=57&amp;field-id=9&amp;hash=54081a99db558730051bdcc67f11f17ea6a1149ce92faeda86f0d9d74339972b" TargetMode="External"/><Relationship Id="rId60" Type="http://schemas.openxmlformats.org/officeDocument/2006/relationships/hyperlink" Target="https://formularios-corregedoria.cnj.jus.br/index.php?gf-download=2024%2F12%2FNota-Tecnica-no-02.2024-adesao-a-NT-n.-03.2022-do-CIJMG.pdf&amp;form-id=57&amp;field-id=9&amp;hash=56b9193a4abb9851469e5d7acec78e55d0f811d4611dedd408919a6a30d55557" TargetMode="External"/><Relationship Id="rId165" Type="http://schemas.openxmlformats.org/officeDocument/2006/relationships/hyperlink" Target="https://formularios-corregedoria.cnj.jus.br/index.php?gf-download=2024%2F12%2FNota-Tecnica-n.-04-CIJUSPE.pdf&amp;form-id=57&amp;field-id=9&amp;hash=b79b86cc73ab3fadd3c398e29974f147f13a3f5288330ee0998db77b9ba73205" TargetMode="External"/><Relationship Id="rId69" Type="http://schemas.openxmlformats.org/officeDocument/2006/relationships/hyperlink" Target="https://formularios-corregedoria.cnj.jus.br/index.php?gf-download=2026%2F03%2FNota-Tecnica-n.-6-2025.pdf&amp;form-id=57&amp;field-id=9&amp;hash=ef44b20d79fdf7a0ba23907892463916a979fa5b0e1a0d466ffaf451913b4dd3" TargetMode="External"/><Relationship Id="rId164" Type="http://schemas.openxmlformats.org/officeDocument/2006/relationships/hyperlink" Target="https://formularios-corregedoria.cnj.jus.br/index.php?gf-download=2025%2F06%2FNotaTecnica_15_2025.pdf&amp;form-id=57&amp;field-id=9&amp;hash=45ce500d291ded5f44c2666e07c190ece6b292378ebd33bcd80feae9bcf4fbfe" TargetMode="External"/><Relationship Id="rId163" Type="http://schemas.openxmlformats.org/officeDocument/2006/relationships/hyperlink" Target="https://formularios-corregedoria.cnj.jus.br/index.php?gf-download=2024%2F05%2FNOTA-TECNICA-CI.TRT4-No-01-DE-15-DE-FEVEREIRO-DE-2024.pdf&amp;form-id=57&amp;field-id=9&amp;hash=7c439bbfae9ae3e521af554e4e43a52006f9ca1ea87f5d0c4e82128f5526d95b" TargetMode="External"/><Relationship Id="rId162" Type="http://schemas.openxmlformats.org/officeDocument/2006/relationships/hyperlink" Target="https://formularios-corregedoria.cnj.jus.br/index.php?gf-download=2023%2F10%2FNT-35-Contratos-de-emprestimos-e-cartao-de-cedito-fraudulento-VF.pdf&amp;form-id=57&amp;field-id=9&amp;hash=d4230780fbd918373189ec421dfc0c56063e1259f5486d406e33d1fcb913304e" TargetMode="External"/><Relationship Id="rId169" Type="http://schemas.openxmlformats.org/officeDocument/2006/relationships/hyperlink" Target="https://formularios-corregedoria.cnj.jus.br/index.php?gf-download=2023%2F10%2FNOTA-TECNICA-PN006.2022.pdf&amp;form-id=57&amp;field-id=9&amp;hash=4bc7b6ebc74f3df57a01020244beb24287b0075c1229f5985370c773c74e74b1" TargetMode="External"/><Relationship Id="rId168" Type="http://schemas.openxmlformats.org/officeDocument/2006/relationships/hyperlink" Target="https://formularios-corregedoria.cnj.jus.br/index.php?gf-download=2023%2F10%2FNOTA-TECNICA-PN007.2022.pdf&amp;form-id=57&amp;field-id=9&amp;hash=6b381093729818df7f44eea61d0dc42f6227af99db2fe7e97e189b291bd0e15a" TargetMode="External"/><Relationship Id="rId167" Type="http://schemas.openxmlformats.org/officeDocument/2006/relationships/hyperlink" Target="https://formularios-corregedoria.cnj.jus.br/index.php?gf-download=2026%2F04%2FNTC-03-2024.pdf&amp;form-id=57&amp;field-id=9&amp;hash=63975e465ad70fba76e902f9d270d2650e2e111f1cefb226612bf0308daad824" TargetMode="External"/><Relationship Id="rId166" Type="http://schemas.openxmlformats.org/officeDocument/2006/relationships/hyperlink" Target="https://formularios-corregedoria.cnj.jus.br/index.php?gf-download=2024%2F08%2FNT-Conjunta-3.2024.pdf&amp;form-id=57&amp;field-id=9&amp;hash=22e29421f58c358a082107933ee7bfee9db743fa7ee31da34f55c2c8d5234fd4" TargetMode="External"/><Relationship Id="rId51" Type="http://schemas.openxmlformats.org/officeDocument/2006/relationships/hyperlink" Target="https://formularios-corregedoria.cnj.jus.br/index.php?gf-download=2023%2F10%2FNOTA-T-05.2022.pdf&amp;form-id=57&amp;field-id=9&amp;hash=94ff93cc6626d2f988c0cbc31e518dace28e03c2366387fedcbacd8294300e10" TargetMode="External"/><Relationship Id="rId50" Type="http://schemas.openxmlformats.org/officeDocument/2006/relationships/hyperlink" Target="https://formularios-corregedoria.cnj.jus.br/index.php?gf-download=2025%2F11%2F2-NT-02-2019.pdf&amp;form-id=57&amp;field-id=9&amp;hash=cfaf894f46e02148967efdd215eaae5ed9a47c11527d7a93644a53c8edd8a8f9" TargetMode="External"/><Relationship Id="rId53" Type="http://schemas.openxmlformats.org/officeDocument/2006/relationships/hyperlink" Target="https://formularios-corregedoria.cnj.jus.br/index.php?gf-download=2025%2F06%2Fsei_0800007_nota_tecnica_no_2-2025_-_clip_sjrj.pdf&amp;form-id=57&amp;field-id=9&amp;hash=e62474d4cf0194d6f9467375eed8b801c323c646040b9a09db9e04cf004d2411" TargetMode="External"/><Relationship Id="rId52" Type="http://schemas.openxmlformats.org/officeDocument/2006/relationships/hyperlink" Target="https://formularios-corregedoria.cnj.jus.br/index.php?gf-download=2025%2F06%2FNotaTecnica_14_2025.pdf&amp;form-id=57&amp;field-id=9&amp;hash=01698d1fb158ff1b81ccc8d882f3a636745ba7f4404c8f8a25aa087d19b050ad" TargetMode="External"/><Relationship Id="rId55" Type="http://schemas.openxmlformats.org/officeDocument/2006/relationships/hyperlink" Target="https://formularios-corregedoria.cnj.jus.br/index.php?gf-download=2023%2F12%2FNT19_CI_TRT1_Litigancia-Predatoria.pdf&amp;form-id=57&amp;field-id=9&amp;hash=9c2fc971e63e1a4e2024a8edf81ffe685b94f6d6108842f3aef8ba501e867ea7" TargetMode="External"/><Relationship Id="rId161" Type="http://schemas.openxmlformats.org/officeDocument/2006/relationships/hyperlink" Target="https://formularios-corregedoria.cnj.jus.br/index.php?gf-download=2025%2F02%2FNota-Tecnica-n.-1-2025-3.pdf&amp;form-id=57&amp;field-id=9&amp;hash=07cea4c44b2a6e45e13b02d214ecd4ead85e148e88d0ce8ef3f4d7a15e9d904a" TargetMode="External"/><Relationship Id="rId54" Type="http://schemas.openxmlformats.org/officeDocument/2006/relationships/hyperlink" Target="https://formularios-corregedoria.cnj.jus.br/index.php?gf-download=2023%2F10%2FNota-tecnica-PN-011.2023-adesao-NT-n.-07.2023-CIJRN.pdf&amp;form-id=57&amp;field-id=9&amp;hash=c15871f304715056aca3d8012d04a8fef61849bd103857d1444e6b4345fb8f9f" TargetMode="External"/><Relationship Id="rId160" Type="http://schemas.openxmlformats.org/officeDocument/2006/relationships/hyperlink" Target="https://formularios-corregedoria.cnj.jus.br/index.php?gf-download=2025%2F02%2FNota-Tecnica-no-3-2025.pdf&amp;form-id=57&amp;field-id=9&amp;hash=0fba33dd9f16a443541526498551c78e433a19c87eff38f0b4f39b102462b669" TargetMode="External"/><Relationship Id="rId57" Type="http://schemas.openxmlformats.org/officeDocument/2006/relationships/hyperlink" Target="https://formularios-corregedoria.cnj.jus.br/index.php?gf-download=2025%2F05%2Fjbc12_nota-tecnica-001-dano-moral.pdf&amp;form-id=57&amp;field-id=9&amp;hash=d763c936b07465a002835ee589b20bc8098ed6b4655d0a7b1824ffacd0765fd2" TargetMode="External"/><Relationship Id="rId56" Type="http://schemas.openxmlformats.org/officeDocument/2006/relationships/hyperlink" Target="https://formularios-corregedoria.cnj.jus.br/index.php?gf-download=2024%2F05%2FNOTA-TECNICA-CI.TRT4-No-02-DE-15-DE-FEVEREIRO-DE-2024.pdf&amp;form-id=57&amp;field-id=9&amp;hash=a188b8388441d00a87924784db147c71aa5bb68eb23f817cd8f3d8fdcfff8dc3" TargetMode="External"/><Relationship Id="rId159" Type="http://schemas.openxmlformats.org/officeDocument/2006/relationships/hyperlink" Target="https://formularios-corregedoria.cnj.jus.br/index.php?gf-download=2025%2F02%2FNota-Tecnica-no-2-2025.pdf&amp;form-id=57&amp;field-id=9&amp;hash=5462d9f764ae347119a72ce84e318f8ac7162b9d6f5a7f308f8cd60302e44fca" TargetMode="External"/><Relationship Id="rId59" Type="http://schemas.openxmlformats.org/officeDocument/2006/relationships/hyperlink" Target="https://formularios-corregedoria.cnj.jus.br/index.php?gf-download=2023%2F11%2FNota_Tecnica_NUMOPEDE_Prov_26_2021_CGJ.pdf&amp;form-id=57&amp;field-id=9&amp;hash=3e9f53e877dbe4659b6b1481174715b551094e25e3a0c64736ac5188a114447b" TargetMode="External"/><Relationship Id="rId154" Type="http://schemas.openxmlformats.org/officeDocument/2006/relationships/hyperlink" Target="https://formularios-corregedoria.cnj.jus.br/index.php?gf-download=2023%2F10%2FNota-Tecnica-n.-01-2023-CIJERO.docx.pdf&amp;form-id=57&amp;field-id=9&amp;hash=8c9df5addb90e14ecd65fbef56dbfcb818369e496210e746da7b43d04a1e6307" TargetMode="External"/><Relationship Id="rId58" Type="http://schemas.openxmlformats.org/officeDocument/2006/relationships/hyperlink" Target="https://formularios-corregedoria.cnj.jus.br/index.php?gf-download=2023%2F10%2FNOTA-TECNICA-01.2022-LITIGANCIA-PREDATORIA-1.pdf&amp;form-id=57&amp;field-id=9&amp;hash=5b22113a24d60b3cfda6a07b23b5d32420a70a6a1079fc6ffd30d837b5f318cc" TargetMode="External"/><Relationship Id="rId153" Type="http://schemas.openxmlformats.org/officeDocument/2006/relationships/hyperlink" Target="https://formularios-corregedoria.cnj.jus.br/index.php?gf-download=2023%2F12%2FNota_Tecnica_n._03-2023_-_CIJERO.docx.pdf&amp;form-id=57&amp;field-id=9&amp;hash=e4462c4fcc1c19ba11d09f13ca379d8e414f0bf454607c27ac89a2c7dbd57ebc" TargetMode="External"/><Relationship Id="rId152" Type="http://schemas.openxmlformats.org/officeDocument/2006/relationships/hyperlink" Target="https://formularios-corregedoria.cnj.jus.br/index.php?gf-download=2024%2F11%2FNotaTecnica_102024.pdf&amp;form-id=57&amp;field-id=9&amp;hash=0fa92bca3ae92f06237c6f618102e4b088d3f7daec1529cfb86a8b4b0e742cf3" TargetMode="External"/><Relationship Id="rId151" Type="http://schemas.openxmlformats.org/officeDocument/2006/relationships/hyperlink" Target="https://formularios-corregedoria.cnj.jus.br/index.php?gf-download=2025%2F07%2Fnota-tecnica-3.2025.pdf&amp;form-id=57&amp;field-id=9&amp;hash=b24d07f92684e801ef40d4f64c28361842c7b079adf5a899b98f2a43d7ad5b7c" TargetMode="External"/><Relationship Id="rId158" Type="http://schemas.openxmlformats.org/officeDocument/2006/relationships/hyperlink" Target="https://formularios-corregedoria.cnj.jus.br/index.php?gf-download=2025%2F02%2FNota-Tecnica-no-4-2025.pdf&amp;form-id=57&amp;field-id=9&amp;hash=490fa49f375a3bab56b4a2461b7cdf219fea1b6e2db363c57e6d9a94395a8801" TargetMode="External"/><Relationship Id="rId157" Type="http://schemas.openxmlformats.org/officeDocument/2006/relationships/hyperlink" Target="https://formularios-corregedoria.cnj.jus.br/index.php?gf-download=2024%2F10%2F1o-ENUNCIADO-DO-NUMOPEDE.pdf&amp;form-id=57&amp;field-id=9&amp;hash=6ad713fba444b8be3cad10c576d079172b29fd8f412a8df5a26259949b4e3117" TargetMode="External"/><Relationship Id="rId156" Type="http://schemas.openxmlformats.org/officeDocument/2006/relationships/hyperlink" Target="https://formularios-corregedoria.cnj.jus.br/index.php?gf-download=2024%2F10%2F1o-NT-Numopede-TJDFT-TJMG-e-TJTO.pdf&amp;form-id=57&amp;field-id=9&amp;hash=efdba956e107605c0a76988d7e939f1964967070cf38b0ccb9f678dadff6b81d" TargetMode="External"/><Relationship Id="rId155" Type="http://schemas.openxmlformats.org/officeDocument/2006/relationships/hyperlink" Target="https://formularios-corregedoria.cnj.jus.br/index.php?gf-download=2023%2F10%2FNota-Tecnica-n.-02-2023-CIJERO.docx.pdf&amp;form-id=57&amp;field-id=9&amp;hash=952db68514b964f09dff023103028f0854b34ce721389910ec56ffa3489d84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108.63"/>
    <col customWidth="1" min="3" max="3" width="29.13"/>
    <col customWidth="1" min="4" max="4" width="32.25"/>
    <col customWidth="1" min="5" max="5" width="43.25"/>
    <col customWidth="1" min="6" max="7" width="29.13"/>
    <col customWidth="1" min="8" max="8" width="36.13"/>
    <col customWidth="1" min="9" max="9" width="36.0"/>
    <col customWidth="1" min="10" max="10" width="41.0"/>
    <col customWidth="1" min="11" max="11" width="54.38"/>
    <col customWidth="1" min="12" max="12" width="32.0"/>
    <col customWidth="1" min="13" max="13" width="15.25"/>
    <col customWidth="1" min="14" max="15" width="27.75"/>
    <col customWidth="1" min="16" max="16" width="20.38"/>
    <col customWidth="1" min="17" max="17" width="25.75"/>
    <col customWidth="1" min="18" max="18" width="15.25"/>
    <col customWidth="1" min="19" max="26" width="8.75"/>
  </cols>
  <sheetData>
    <row r="1" ht="30.0" customHeight="1">
      <c r="A1" s="1"/>
      <c r="B1" s="2" t="s">
        <v>0</v>
      </c>
      <c r="C1" s="4"/>
      <c r="D1" s="4"/>
      <c r="E1" s="4"/>
      <c r="F1" s="4"/>
      <c r="G1" s="4"/>
      <c r="H1" s="4"/>
      <c r="I1" s="4"/>
      <c r="J1" s="4"/>
      <c r="K1" s="4"/>
      <c r="L1" s="4"/>
      <c r="M1" s="7"/>
      <c r="N1" s="8"/>
      <c r="O1" s="8"/>
      <c r="P1" s="8"/>
      <c r="Q1" s="8"/>
      <c r="R1" s="11"/>
      <c r="S1" s="11"/>
      <c r="T1" s="11"/>
      <c r="U1" s="11"/>
      <c r="V1" s="11"/>
      <c r="W1" s="11"/>
      <c r="X1" s="11"/>
      <c r="Y1" s="11"/>
      <c r="Z1" s="11"/>
    </row>
    <row r="2" ht="18.0" customHeight="1">
      <c r="A2" s="13"/>
      <c r="B2" s="14" t="s">
        <v>1</v>
      </c>
      <c r="C2" s="4"/>
      <c r="D2" s="4"/>
      <c r="E2" s="4"/>
      <c r="F2" s="4"/>
      <c r="G2" s="4"/>
      <c r="H2" s="4"/>
      <c r="I2" s="4"/>
      <c r="J2" s="4"/>
      <c r="K2" s="4"/>
      <c r="L2" s="4"/>
      <c r="M2" s="7"/>
      <c r="N2" s="8"/>
      <c r="O2" s="8"/>
      <c r="P2" s="8"/>
      <c r="Q2" s="8"/>
      <c r="R2" s="11"/>
      <c r="S2" s="11"/>
      <c r="T2" s="11"/>
      <c r="U2" s="11"/>
      <c r="V2" s="11"/>
      <c r="W2" s="11"/>
      <c r="X2" s="11"/>
      <c r="Y2" s="11"/>
      <c r="Z2" s="11"/>
    </row>
    <row r="3" ht="12.0" customHeight="1">
      <c r="A3" s="16"/>
      <c r="B3" s="16"/>
      <c r="C3" s="18"/>
      <c r="D3" s="18"/>
      <c r="E3" s="18"/>
      <c r="F3" s="20"/>
      <c r="G3" s="18"/>
      <c r="H3" s="18"/>
      <c r="I3" s="18"/>
      <c r="J3" s="18"/>
      <c r="K3" s="18"/>
      <c r="L3" s="21"/>
      <c r="M3" s="21"/>
      <c r="N3" s="11"/>
      <c r="O3" s="11"/>
      <c r="P3" s="11"/>
      <c r="Q3" s="11"/>
      <c r="R3" s="11"/>
      <c r="S3" s="11"/>
      <c r="T3" s="11"/>
      <c r="U3" s="11"/>
      <c r="V3" s="11"/>
      <c r="W3" s="11"/>
      <c r="X3" s="11"/>
      <c r="Y3" s="11"/>
      <c r="Z3" s="11"/>
    </row>
    <row r="4" ht="27.75" customHeight="1">
      <c r="A4" s="23" t="s">
        <v>2</v>
      </c>
      <c r="B4" s="23" t="s">
        <v>3</v>
      </c>
      <c r="C4" s="23" t="s">
        <v>4</v>
      </c>
      <c r="D4" s="23" t="s">
        <v>5</v>
      </c>
      <c r="E4" s="23" t="s">
        <v>6</v>
      </c>
      <c r="F4" s="23" t="s">
        <v>7</v>
      </c>
      <c r="G4" s="23" t="s">
        <v>8</v>
      </c>
      <c r="H4" s="23" t="s">
        <v>9</v>
      </c>
      <c r="I4" s="23" t="s">
        <v>10</v>
      </c>
      <c r="J4" s="23" t="s">
        <v>11</v>
      </c>
      <c r="K4" s="23" t="s">
        <v>12</v>
      </c>
      <c r="L4" s="23" t="s">
        <v>13</v>
      </c>
      <c r="M4" s="23" t="s">
        <v>14</v>
      </c>
      <c r="N4" s="23" t="s">
        <v>15</v>
      </c>
      <c r="O4" s="23" t="s">
        <v>16</v>
      </c>
      <c r="P4" s="23" t="s">
        <v>17</v>
      </c>
      <c r="Q4" s="23" t="s">
        <v>18</v>
      </c>
      <c r="R4" s="24" t="s">
        <v>19</v>
      </c>
      <c r="S4" s="11"/>
      <c r="T4" s="11"/>
      <c r="U4" s="11"/>
      <c r="V4" s="11"/>
      <c r="W4" s="11"/>
      <c r="X4" s="11"/>
      <c r="Y4" s="11"/>
      <c r="Z4" s="11"/>
    </row>
    <row r="5" ht="111.0" customHeight="1">
      <c r="A5" s="25">
        <v>1.0</v>
      </c>
      <c r="B5" s="25" t="s">
        <v>20</v>
      </c>
      <c r="C5" s="25" t="s">
        <v>21</v>
      </c>
      <c r="D5" s="26" t="s">
        <v>22</v>
      </c>
      <c r="E5" s="27" t="s">
        <v>23</v>
      </c>
      <c r="F5" s="26" t="s">
        <v>24</v>
      </c>
      <c r="G5" s="27" t="s">
        <v>25</v>
      </c>
      <c r="H5" s="27" t="s">
        <v>26</v>
      </c>
      <c r="I5" s="25" t="s">
        <v>27</v>
      </c>
      <c r="J5" s="27" t="s">
        <v>28</v>
      </c>
      <c r="K5" s="26" t="s">
        <v>29</v>
      </c>
      <c r="L5" s="25" t="s">
        <v>30</v>
      </c>
      <c r="M5" s="25" t="s">
        <v>31</v>
      </c>
      <c r="N5" s="27" t="s">
        <v>30</v>
      </c>
      <c r="O5" s="27" t="s">
        <v>32</v>
      </c>
      <c r="P5" s="27" t="s">
        <v>33</v>
      </c>
      <c r="Q5" s="27" t="s">
        <v>30</v>
      </c>
      <c r="R5" s="11"/>
      <c r="S5" s="11"/>
      <c r="T5" s="11"/>
      <c r="U5" s="11"/>
      <c r="V5" s="11"/>
      <c r="W5" s="11"/>
      <c r="X5" s="11"/>
      <c r="Y5" s="11"/>
      <c r="Z5" s="11"/>
    </row>
    <row r="6" ht="137.25" customHeight="1">
      <c r="A6" s="28">
        <v>27.0</v>
      </c>
      <c r="B6" s="28" t="s">
        <v>34</v>
      </c>
      <c r="C6" s="29" t="s">
        <v>35</v>
      </c>
      <c r="D6" s="29" t="s">
        <v>36</v>
      </c>
      <c r="E6" s="29" t="s">
        <v>37</v>
      </c>
      <c r="F6" s="29" t="s">
        <v>38</v>
      </c>
      <c r="G6" s="29" t="s">
        <v>39</v>
      </c>
      <c r="H6" s="29" t="s">
        <v>40</v>
      </c>
      <c r="I6" s="29" t="s">
        <v>41</v>
      </c>
      <c r="J6" s="29" t="s">
        <v>42</v>
      </c>
      <c r="K6" s="29" t="s">
        <v>43</v>
      </c>
      <c r="L6" s="28" t="s">
        <v>44</v>
      </c>
      <c r="M6" s="28" t="s">
        <v>31</v>
      </c>
      <c r="N6" s="29" t="s">
        <v>44</v>
      </c>
      <c r="O6" s="29" t="s">
        <v>33</v>
      </c>
      <c r="P6" s="29" t="s">
        <v>45</v>
      </c>
      <c r="Q6" s="29" t="s">
        <v>44</v>
      </c>
      <c r="R6" s="11"/>
      <c r="S6" s="11"/>
      <c r="T6" s="11"/>
      <c r="U6" s="11"/>
      <c r="V6" s="11"/>
      <c r="W6" s="11"/>
      <c r="X6" s="11"/>
      <c r="Y6" s="11"/>
      <c r="Z6" s="11"/>
    </row>
    <row r="7" ht="45.0" customHeight="1">
      <c r="A7" s="25">
        <v>3.0</v>
      </c>
      <c r="B7" s="25" t="s">
        <v>46</v>
      </c>
      <c r="C7" s="26" t="s">
        <v>47</v>
      </c>
      <c r="D7" s="26" t="s">
        <v>48</v>
      </c>
      <c r="E7" s="27" t="s">
        <v>49</v>
      </c>
      <c r="F7" s="27" t="s">
        <v>50</v>
      </c>
      <c r="G7" s="27" t="s">
        <v>51</v>
      </c>
      <c r="H7" s="27" t="s">
        <v>52</v>
      </c>
      <c r="I7" s="26" t="s">
        <v>53</v>
      </c>
      <c r="J7" s="27" t="s">
        <v>54</v>
      </c>
      <c r="K7" s="27" t="s">
        <v>55</v>
      </c>
      <c r="L7" s="25" t="s">
        <v>56</v>
      </c>
      <c r="M7" s="25" t="s">
        <v>31</v>
      </c>
      <c r="N7" s="27" t="s">
        <v>44</v>
      </c>
      <c r="O7" s="27" t="s">
        <v>32</v>
      </c>
      <c r="P7" s="27" t="s">
        <v>33</v>
      </c>
      <c r="Q7" s="27" t="s">
        <v>44</v>
      </c>
      <c r="R7" s="20" t="s">
        <v>31</v>
      </c>
      <c r="S7" s="20"/>
      <c r="T7" s="20"/>
      <c r="U7" s="20"/>
      <c r="V7" s="20"/>
      <c r="W7" s="20"/>
      <c r="X7" s="20"/>
      <c r="Y7" s="20"/>
      <c r="Z7" s="20"/>
    </row>
    <row r="8" ht="45.0" customHeight="1">
      <c r="A8" s="28">
        <v>4.0</v>
      </c>
      <c r="B8" s="28" t="s">
        <v>57</v>
      </c>
      <c r="C8" s="30" t="s">
        <v>58</v>
      </c>
      <c r="D8" s="30" t="s">
        <v>59</v>
      </c>
      <c r="E8" s="30" t="s">
        <v>60</v>
      </c>
      <c r="F8" s="31" t="s">
        <v>61</v>
      </c>
      <c r="G8" s="30" t="s">
        <v>62</v>
      </c>
      <c r="H8" s="30" t="s">
        <v>63</v>
      </c>
      <c r="I8" s="30" t="s">
        <v>64</v>
      </c>
      <c r="J8" s="30" t="s">
        <v>65</v>
      </c>
      <c r="K8" s="30" t="s">
        <v>66</v>
      </c>
      <c r="L8" s="28" t="s">
        <v>44</v>
      </c>
      <c r="M8" s="28" t="s">
        <v>45</v>
      </c>
      <c r="N8" s="29" t="s">
        <v>67</v>
      </c>
      <c r="O8" s="29" t="s">
        <v>32</v>
      </c>
      <c r="P8" s="29" t="s">
        <v>31</v>
      </c>
      <c r="Q8" s="29" t="s">
        <v>67</v>
      </c>
      <c r="R8" s="11"/>
      <c r="S8" s="11"/>
      <c r="T8" s="11"/>
      <c r="U8" s="11"/>
      <c r="V8" s="11"/>
      <c r="W8" s="11"/>
      <c r="X8" s="11"/>
      <c r="Y8" s="11"/>
      <c r="Z8" s="11"/>
    </row>
    <row r="9" ht="39.75" customHeight="1">
      <c r="A9" s="25">
        <v>5.0</v>
      </c>
      <c r="B9" s="25" t="s">
        <v>68</v>
      </c>
      <c r="C9" s="26" t="s">
        <v>69</v>
      </c>
      <c r="D9" s="26" t="s">
        <v>70</v>
      </c>
      <c r="E9" s="26" t="s">
        <v>71</v>
      </c>
      <c r="F9" s="26" t="s">
        <v>72</v>
      </c>
      <c r="G9" s="26" t="s">
        <v>73</v>
      </c>
      <c r="H9" s="26" t="s">
        <v>74</v>
      </c>
      <c r="I9" s="26" t="s">
        <v>75</v>
      </c>
      <c r="J9" s="26" t="s">
        <v>76</v>
      </c>
      <c r="K9" s="26" t="s">
        <v>77</v>
      </c>
      <c r="L9" s="25" t="s">
        <v>44</v>
      </c>
      <c r="M9" s="25" t="s">
        <v>45</v>
      </c>
      <c r="N9" s="27" t="s">
        <v>44</v>
      </c>
      <c r="O9" s="27" t="s">
        <v>33</v>
      </c>
      <c r="P9" s="27" t="s">
        <v>32</v>
      </c>
      <c r="Q9" s="27" t="s">
        <v>44</v>
      </c>
      <c r="R9" s="11"/>
      <c r="S9" s="11"/>
      <c r="T9" s="11"/>
      <c r="U9" s="11"/>
      <c r="V9" s="11"/>
      <c r="W9" s="11"/>
      <c r="X9" s="11"/>
      <c r="Y9" s="11"/>
      <c r="Z9" s="11"/>
    </row>
    <row r="10" ht="39.75" customHeight="1">
      <c r="A10" s="28">
        <v>6.0</v>
      </c>
      <c r="B10" s="28" t="s">
        <v>78</v>
      </c>
      <c r="C10" s="30" t="s">
        <v>79</v>
      </c>
      <c r="D10" s="30" t="s">
        <v>80</v>
      </c>
      <c r="E10" s="30" t="s">
        <v>81</v>
      </c>
      <c r="F10" s="31" t="s">
        <v>82</v>
      </c>
      <c r="G10" s="29" t="s">
        <v>83</v>
      </c>
      <c r="H10" s="29" t="s">
        <v>84</v>
      </c>
      <c r="I10" s="30" t="s">
        <v>85</v>
      </c>
      <c r="J10" s="30" t="s">
        <v>86</v>
      </c>
      <c r="K10" s="30" t="s">
        <v>87</v>
      </c>
      <c r="L10" s="28" t="s">
        <v>30</v>
      </c>
      <c r="M10" s="28" t="s">
        <v>45</v>
      </c>
      <c r="N10" s="29" t="s">
        <v>30</v>
      </c>
      <c r="O10" s="29" t="s">
        <v>32</v>
      </c>
      <c r="P10" s="29" t="s">
        <v>31</v>
      </c>
      <c r="Q10" s="29" t="s">
        <v>30</v>
      </c>
      <c r="R10" s="11"/>
      <c r="S10" s="11"/>
      <c r="T10" s="11"/>
      <c r="U10" s="11"/>
      <c r="V10" s="11"/>
      <c r="W10" s="11"/>
      <c r="X10" s="11"/>
      <c r="Y10" s="11"/>
      <c r="Z10" s="11"/>
    </row>
    <row r="11" ht="117.0" customHeight="1">
      <c r="A11" s="28">
        <v>44.0</v>
      </c>
      <c r="B11" s="28" t="s">
        <v>88</v>
      </c>
      <c r="C11" s="29" t="s">
        <v>89</v>
      </c>
      <c r="D11" s="29" t="s">
        <v>90</v>
      </c>
      <c r="E11" s="29" t="s">
        <v>91</v>
      </c>
      <c r="F11" s="29" t="s">
        <v>92</v>
      </c>
      <c r="G11" s="29" t="s">
        <v>93</v>
      </c>
      <c r="H11" s="29" t="s">
        <v>94</v>
      </c>
      <c r="I11" s="29" t="s">
        <v>95</v>
      </c>
      <c r="J11" s="29" t="s">
        <v>96</v>
      </c>
      <c r="K11" s="29" t="s">
        <v>97</v>
      </c>
      <c r="L11" s="28" t="s">
        <v>98</v>
      </c>
      <c r="M11" s="28" t="s">
        <v>31</v>
      </c>
      <c r="N11" s="29" t="s">
        <v>98</v>
      </c>
      <c r="O11" s="29" t="s">
        <v>33</v>
      </c>
      <c r="P11" s="29" t="s">
        <v>45</v>
      </c>
      <c r="Q11" s="29" t="s">
        <v>98</v>
      </c>
      <c r="R11" s="20"/>
      <c r="S11" s="20"/>
      <c r="T11" s="20"/>
      <c r="U11" s="20"/>
      <c r="V11" s="20"/>
      <c r="W11" s="20"/>
      <c r="X11" s="20"/>
      <c r="Y11" s="20"/>
      <c r="Z11" s="20"/>
    </row>
    <row r="12" ht="143.25" customHeight="1">
      <c r="A12" s="28">
        <v>8.0</v>
      </c>
      <c r="B12" s="28" t="s">
        <v>101</v>
      </c>
      <c r="C12" s="30" t="s">
        <v>102</v>
      </c>
      <c r="D12" s="30" t="s">
        <v>103</v>
      </c>
      <c r="E12" s="30" t="s">
        <v>104</v>
      </c>
      <c r="F12" s="30" t="s">
        <v>105</v>
      </c>
      <c r="G12" s="30" t="s">
        <v>106</v>
      </c>
      <c r="H12" s="30" t="s">
        <v>107</v>
      </c>
      <c r="I12" s="29" t="s">
        <v>108</v>
      </c>
      <c r="J12" s="29" t="s">
        <v>108</v>
      </c>
      <c r="K12" s="29" t="s">
        <v>109</v>
      </c>
      <c r="L12" s="30" t="s">
        <v>44</v>
      </c>
      <c r="M12" s="28" t="s">
        <v>31</v>
      </c>
      <c r="N12" s="30" t="s">
        <v>44</v>
      </c>
      <c r="O12" s="30" t="s">
        <v>45</v>
      </c>
      <c r="P12" s="30" t="s">
        <v>32</v>
      </c>
      <c r="Q12" s="30" t="s">
        <v>44</v>
      </c>
      <c r="R12" s="32"/>
      <c r="S12" s="33"/>
      <c r="T12" s="33"/>
      <c r="U12" s="33"/>
      <c r="V12" s="33"/>
      <c r="W12" s="33"/>
      <c r="X12" s="33"/>
      <c r="Y12" s="33"/>
      <c r="Z12" s="33"/>
    </row>
    <row r="13" ht="143.25" customHeight="1">
      <c r="A13" s="25">
        <v>9.0</v>
      </c>
      <c r="B13" s="25" t="s">
        <v>117</v>
      </c>
      <c r="C13" s="26" t="s">
        <v>118</v>
      </c>
      <c r="D13" s="26" t="s">
        <v>103</v>
      </c>
      <c r="E13" s="27" t="s">
        <v>119</v>
      </c>
      <c r="F13" s="27" t="s">
        <v>120</v>
      </c>
      <c r="G13" s="26" t="s">
        <v>121</v>
      </c>
      <c r="H13" s="27" t="s">
        <v>122</v>
      </c>
      <c r="I13" s="26" t="s">
        <v>123</v>
      </c>
      <c r="J13" s="26" t="s">
        <v>124</v>
      </c>
      <c r="K13" s="26" t="s">
        <v>125</v>
      </c>
      <c r="L13" s="25" t="s">
        <v>44</v>
      </c>
      <c r="M13" s="25" t="s">
        <v>31</v>
      </c>
      <c r="N13" s="27" t="s">
        <v>67</v>
      </c>
      <c r="O13" s="27" t="s">
        <v>33</v>
      </c>
      <c r="P13" s="27" t="s">
        <v>32</v>
      </c>
      <c r="Q13" s="27" t="s">
        <v>67</v>
      </c>
      <c r="R13" s="11"/>
      <c r="S13" s="11"/>
      <c r="T13" s="11"/>
      <c r="U13" s="11"/>
      <c r="V13" s="11"/>
      <c r="W13" s="11"/>
      <c r="X13" s="11"/>
      <c r="Y13" s="11"/>
      <c r="Z13" s="11"/>
    </row>
    <row r="14" ht="143.25" customHeight="1">
      <c r="A14" s="28">
        <v>10.0</v>
      </c>
      <c r="B14" s="28" t="s">
        <v>126</v>
      </c>
      <c r="C14" s="30" t="s">
        <v>127</v>
      </c>
      <c r="D14" s="30" t="s">
        <v>128</v>
      </c>
      <c r="E14" s="29" t="s">
        <v>129</v>
      </c>
      <c r="F14" s="29" t="s">
        <v>130</v>
      </c>
      <c r="G14" s="29" t="s">
        <v>131</v>
      </c>
      <c r="H14" s="29" t="s">
        <v>132</v>
      </c>
      <c r="I14" s="29" t="s">
        <v>133</v>
      </c>
      <c r="J14" s="29" t="s">
        <v>134</v>
      </c>
      <c r="K14" s="29" t="s">
        <v>135</v>
      </c>
      <c r="L14" s="28" t="s">
        <v>56</v>
      </c>
      <c r="M14" s="28" t="s">
        <v>31</v>
      </c>
      <c r="N14" s="29" t="s">
        <v>67</v>
      </c>
      <c r="O14" s="29" t="s">
        <v>32</v>
      </c>
      <c r="P14" s="29" t="s">
        <v>33</v>
      </c>
      <c r="Q14" s="29" t="s">
        <v>67</v>
      </c>
      <c r="R14" s="11"/>
      <c r="S14" s="11"/>
      <c r="T14" s="11"/>
      <c r="U14" s="11"/>
      <c r="V14" s="11"/>
      <c r="W14" s="11"/>
      <c r="X14" s="11"/>
      <c r="Y14" s="11"/>
      <c r="Z14" s="11"/>
    </row>
    <row r="15" ht="143.25" customHeight="1">
      <c r="A15" s="25">
        <v>11.0</v>
      </c>
      <c r="B15" s="25" t="s">
        <v>136</v>
      </c>
      <c r="C15" s="26" t="s">
        <v>137</v>
      </c>
      <c r="D15" s="26" t="s">
        <v>128</v>
      </c>
      <c r="E15" s="27" t="s">
        <v>138</v>
      </c>
      <c r="F15" s="26" t="s">
        <v>139</v>
      </c>
      <c r="G15" s="26" t="s">
        <v>140</v>
      </c>
      <c r="H15" s="27" t="s">
        <v>141</v>
      </c>
      <c r="I15" s="27" t="s">
        <v>142</v>
      </c>
      <c r="J15" s="27" t="s">
        <v>143</v>
      </c>
      <c r="K15" s="27" t="s">
        <v>144</v>
      </c>
      <c r="L15" s="25" t="s">
        <v>44</v>
      </c>
      <c r="M15" s="25" t="s">
        <v>31</v>
      </c>
      <c r="N15" s="27" t="s">
        <v>44</v>
      </c>
      <c r="O15" s="27" t="s">
        <v>45</v>
      </c>
      <c r="P15" s="27" t="s">
        <v>32</v>
      </c>
      <c r="Q15" s="27" t="s">
        <v>44</v>
      </c>
      <c r="R15" s="11"/>
      <c r="S15" s="11"/>
      <c r="T15" s="11"/>
      <c r="U15" s="11"/>
      <c r="V15" s="11"/>
      <c r="W15" s="11"/>
      <c r="X15" s="11"/>
      <c r="Y15" s="11"/>
      <c r="Z15" s="11"/>
    </row>
    <row r="16" ht="143.25" customHeight="1">
      <c r="A16" s="28">
        <v>48.0</v>
      </c>
      <c r="B16" s="28" t="s">
        <v>145</v>
      </c>
      <c r="C16" s="29" t="s">
        <v>146</v>
      </c>
      <c r="D16" s="29" t="s">
        <v>90</v>
      </c>
      <c r="E16" s="29" t="s">
        <v>147</v>
      </c>
      <c r="F16" s="29" t="s">
        <v>148</v>
      </c>
      <c r="G16" s="29" t="s">
        <v>149</v>
      </c>
      <c r="H16" s="29" t="s">
        <v>150</v>
      </c>
      <c r="I16" s="29" t="s">
        <v>151</v>
      </c>
      <c r="J16" s="29" t="s">
        <v>152</v>
      </c>
      <c r="K16" s="29" t="s">
        <v>154</v>
      </c>
      <c r="L16" s="28" t="s">
        <v>30</v>
      </c>
      <c r="M16" s="28" t="s">
        <v>31</v>
      </c>
      <c r="N16" s="29" t="s">
        <v>30</v>
      </c>
      <c r="O16" s="29" t="s">
        <v>33</v>
      </c>
      <c r="P16" s="29" t="s">
        <v>45</v>
      </c>
      <c r="Q16" s="29" t="s">
        <v>30</v>
      </c>
      <c r="R16" s="11"/>
      <c r="S16" s="11"/>
      <c r="T16" s="11"/>
      <c r="U16" s="11"/>
      <c r="V16" s="11"/>
      <c r="W16" s="11"/>
      <c r="X16" s="11"/>
      <c r="Y16" s="11"/>
      <c r="Z16" s="11"/>
    </row>
    <row r="17" ht="143.25" customHeight="1">
      <c r="A17" s="28">
        <v>57.0</v>
      </c>
      <c r="B17" s="28" t="s">
        <v>156</v>
      </c>
      <c r="C17" s="29" t="s">
        <v>157</v>
      </c>
      <c r="D17" s="29" t="s">
        <v>90</v>
      </c>
      <c r="E17" s="29" t="s">
        <v>158</v>
      </c>
      <c r="F17" s="29" t="s">
        <v>159</v>
      </c>
      <c r="G17" s="29" t="s">
        <v>160</v>
      </c>
      <c r="H17" s="29" t="s">
        <v>161</v>
      </c>
      <c r="I17" s="29" t="s">
        <v>162</v>
      </c>
      <c r="J17" s="29" t="s">
        <v>163</v>
      </c>
      <c r="K17" s="29" t="s">
        <v>164</v>
      </c>
      <c r="L17" s="28" t="s">
        <v>30</v>
      </c>
      <c r="M17" s="28" t="s">
        <v>31</v>
      </c>
      <c r="N17" s="29" t="s">
        <v>30</v>
      </c>
      <c r="O17" s="29" t="s">
        <v>33</v>
      </c>
      <c r="P17" s="29" t="s">
        <v>45</v>
      </c>
      <c r="Q17" s="29" t="s">
        <v>30</v>
      </c>
      <c r="R17" s="11"/>
      <c r="S17" s="11"/>
      <c r="T17" s="11"/>
      <c r="U17" s="11"/>
      <c r="V17" s="11"/>
      <c r="W17" s="11"/>
      <c r="X17" s="11"/>
      <c r="Y17" s="11"/>
      <c r="Z17" s="11"/>
    </row>
    <row r="18" ht="143.25" customHeight="1">
      <c r="A18" s="28">
        <v>14.0</v>
      </c>
      <c r="B18" s="28" t="s">
        <v>165</v>
      </c>
      <c r="C18" s="30" t="s">
        <v>166</v>
      </c>
      <c r="D18" s="30" t="s">
        <v>128</v>
      </c>
      <c r="E18" s="29" t="s">
        <v>167</v>
      </c>
      <c r="F18" s="29" t="s">
        <v>168</v>
      </c>
      <c r="G18" s="29" t="s">
        <v>169</v>
      </c>
      <c r="H18" s="29" t="s">
        <v>170</v>
      </c>
      <c r="I18" s="29" t="s">
        <v>171</v>
      </c>
      <c r="J18" s="29" t="s">
        <v>172</v>
      </c>
      <c r="K18" s="29" t="s">
        <v>173</v>
      </c>
      <c r="L18" s="28" t="s">
        <v>44</v>
      </c>
      <c r="M18" s="28" t="s">
        <v>31</v>
      </c>
      <c r="N18" s="29" t="s">
        <v>44</v>
      </c>
      <c r="O18" s="29" t="s">
        <v>32</v>
      </c>
      <c r="P18" s="29" t="s">
        <v>33</v>
      </c>
      <c r="Q18" s="29" t="s">
        <v>44</v>
      </c>
      <c r="R18" s="11" t="s">
        <v>31</v>
      </c>
      <c r="S18" s="11"/>
      <c r="T18" s="11"/>
      <c r="U18" s="11"/>
      <c r="V18" s="11"/>
      <c r="W18" s="11"/>
      <c r="X18" s="11"/>
      <c r="Y18" s="11"/>
      <c r="Z18" s="11"/>
    </row>
    <row r="19" ht="214.5" customHeight="1">
      <c r="A19" s="25">
        <v>15.0</v>
      </c>
      <c r="B19" s="25" t="s">
        <v>174</v>
      </c>
      <c r="C19" s="26" t="s">
        <v>175</v>
      </c>
      <c r="D19" s="26" t="s">
        <v>176</v>
      </c>
      <c r="E19" s="27" t="s">
        <v>177</v>
      </c>
      <c r="F19" s="27" t="s">
        <v>178</v>
      </c>
      <c r="G19" s="26" t="s">
        <v>179</v>
      </c>
      <c r="H19" s="26" t="s">
        <v>180</v>
      </c>
      <c r="I19" s="26" t="s">
        <v>181</v>
      </c>
      <c r="J19" s="27" t="s">
        <v>182</v>
      </c>
      <c r="K19" s="27" t="s">
        <v>183</v>
      </c>
      <c r="L19" s="25" t="s">
        <v>44</v>
      </c>
      <c r="M19" s="25" t="s">
        <v>31</v>
      </c>
      <c r="N19" s="27" t="s">
        <v>44</v>
      </c>
      <c r="O19" s="27" t="s">
        <v>45</v>
      </c>
      <c r="P19" s="27" t="s">
        <v>32</v>
      </c>
      <c r="Q19" s="27" t="s">
        <v>44</v>
      </c>
      <c r="R19" s="11"/>
      <c r="S19" s="11"/>
      <c r="T19" s="11"/>
      <c r="U19" s="11"/>
      <c r="V19" s="11"/>
      <c r="W19" s="11"/>
      <c r="X19" s="11"/>
      <c r="Y19" s="11"/>
      <c r="Z19" s="11"/>
    </row>
    <row r="20" ht="175.5" customHeight="1">
      <c r="A20" s="28">
        <v>16.0</v>
      </c>
      <c r="B20" s="28" t="s">
        <v>184</v>
      </c>
      <c r="C20" s="29" t="s">
        <v>185</v>
      </c>
      <c r="D20" s="30" t="s">
        <v>186</v>
      </c>
      <c r="E20" s="35" t="s">
        <v>187</v>
      </c>
      <c r="F20" s="29" t="s">
        <v>193</v>
      </c>
      <c r="G20" s="29" t="s">
        <v>194</v>
      </c>
      <c r="H20" s="29" t="s">
        <v>195</v>
      </c>
      <c r="I20" s="29" t="s">
        <v>196</v>
      </c>
      <c r="J20" s="29" t="s">
        <v>199</v>
      </c>
      <c r="K20" s="29" t="s">
        <v>202</v>
      </c>
      <c r="L20" s="30" t="s">
        <v>56</v>
      </c>
      <c r="M20" s="28" t="s">
        <v>31</v>
      </c>
      <c r="N20" s="29" t="s">
        <v>56</v>
      </c>
      <c r="O20" s="29" t="s">
        <v>33</v>
      </c>
      <c r="P20" s="29" t="s">
        <v>32</v>
      </c>
      <c r="Q20" s="29" t="s">
        <v>67</v>
      </c>
      <c r="R20" s="11"/>
      <c r="S20" s="11"/>
      <c r="T20" s="11"/>
      <c r="U20" s="11"/>
      <c r="V20" s="11"/>
      <c r="W20" s="11"/>
      <c r="X20" s="11"/>
      <c r="Y20" s="11"/>
      <c r="Z20" s="11"/>
    </row>
    <row r="21" ht="201.0" customHeight="1">
      <c r="A21" s="28">
        <v>72.0</v>
      </c>
      <c r="B21" s="28" t="s">
        <v>205</v>
      </c>
      <c r="C21" s="29" t="s">
        <v>206</v>
      </c>
      <c r="D21" s="29" t="s">
        <v>207</v>
      </c>
      <c r="E21" s="29" t="s">
        <v>208</v>
      </c>
      <c r="F21" s="29" t="s">
        <v>209</v>
      </c>
      <c r="G21" s="29" t="s">
        <v>210</v>
      </c>
      <c r="H21" s="29" t="s">
        <v>211</v>
      </c>
      <c r="I21" s="29" t="s">
        <v>212</v>
      </c>
      <c r="J21" s="29" t="s">
        <v>213</v>
      </c>
      <c r="K21" s="29" t="s">
        <v>214</v>
      </c>
      <c r="L21" s="28" t="s">
        <v>56</v>
      </c>
      <c r="M21" s="28" t="s">
        <v>31</v>
      </c>
      <c r="N21" s="29" t="s">
        <v>56</v>
      </c>
      <c r="O21" s="29" t="s">
        <v>33</v>
      </c>
      <c r="P21" s="29" t="s">
        <v>45</v>
      </c>
      <c r="Q21" s="29" t="s">
        <v>56</v>
      </c>
      <c r="R21" s="11"/>
      <c r="S21" s="11"/>
      <c r="T21" s="11"/>
      <c r="U21" s="11"/>
      <c r="V21" s="11"/>
      <c r="W21" s="11"/>
      <c r="X21" s="11"/>
      <c r="Y21" s="11"/>
      <c r="Z21" s="11"/>
    </row>
    <row r="22" ht="247.5" customHeight="1">
      <c r="A22" s="28">
        <v>18.0</v>
      </c>
      <c r="B22" s="28" t="s">
        <v>215</v>
      </c>
      <c r="C22" s="29" t="s">
        <v>216</v>
      </c>
      <c r="D22" s="30" t="s">
        <v>217</v>
      </c>
      <c r="E22" s="29" t="s">
        <v>218</v>
      </c>
      <c r="F22" s="36" t="s">
        <v>219</v>
      </c>
      <c r="G22" s="29" t="s">
        <v>220</v>
      </c>
      <c r="H22" s="29" t="s">
        <v>221</v>
      </c>
      <c r="I22" s="29" t="s">
        <v>222</v>
      </c>
      <c r="J22" s="29" t="s">
        <v>223</v>
      </c>
      <c r="K22" s="29" t="s">
        <v>224</v>
      </c>
      <c r="L22" s="28" t="s">
        <v>30</v>
      </c>
      <c r="M22" s="28" t="s">
        <v>33</v>
      </c>
      <c r="N22" s="29" t="s">
        <v>30</v>
      </c>
      <c r="O22" s="29" t="s">
        <v>45</v>
      </c>
      <c r="P22" s="29" t="s">
        <v>31</v>
      </c>
      <c r="Q22" s="29" t="s">
        <v>30</v>
      </c>
      <c r="R22" s="11"/>
      <c r="S22" s="11"/>
      <c r="T22" s="11"/>
      <c r="U22" s="11"/>
      <c r="V22" s="11"/>
      <c r="W22" s="11"/>
      <c r="X22" s="11"/>
      <c r="Y22" s="11"/>
      <c r="Z22" s="11"/>
    </row>
    <row r="23" ht="162.0" customHeight="1">
      <c r="A23" s="25">
        <v>19.0</v>
      </c>
      <c r="B23" s="25" t="s">
        <v>225</v>
      </c>
      <c r="C23" s="27" t="s">
        <v>226</v>
      </c>
      <c r="D23" s="26" t="s">
        <v>217</v>
      </c>
      <c r="E23" s="27" t="s">
        <v>227</v>
      </c>
      <c r="F23" s="38" t="s">
        <v>228</v>
      </c>
      <c r="G23" s="27" t="s">
        <v>229</v>
      </c>
      <c r="H23" s="27" t="s">
        <v>230</v>
      </c>
      <c r="I23" s="27" t="s">
        <v>231</v>
      </c>
      <c r="J23" s="27" t="s">
        <v>232</v>
      </c>
      <c r="K23" s="27" t="s">
        <v>233</v>
      </c>
      <c r="L23" s="25" t="s">
        <v>44</v>
      </c>
      <c r="M23" s="25" t="s">
        <v>33</v>
      </c>
      <c r="N23" s="27" t="s">
        <v>44</v>
      </c>
      <c r="O23" s="27" t="s">
        <v>45</v>
      </c>
      <c r="P23" s="27" t="s">
        <v>31</v>
      </c>
      <c r="Q23" s="27" t="s">
        <v>30</v>
      </c>
      <c r="R23" s="11"/>
      <c r="S23" s="11"/>
      <c r="T23" s="11"/>
      <c r="U23" s="11"/>
      <c r="V23" s="11"/>
      <c r="W23" s="11"/>
      <c r="X23" s="11"/>
      <c r="Y23" s="11"/>
      <c r="Z23" s="11"/>
    </row>
    <row r="24" ht="229.5" customHeight="1">
      <c r="A24" s="28">
        <v>20.0</v>
      </c>
      <c r="B24" s="28" t="s">
        <v>234</v>
      </c>
      <c r="C24" s="29" t="s">
        <v>235</v>
      </c>
      <c r="D24" s="30" t="s">
        <v>217</v>
      </c>
      <c r="E24" s="29" t="s">
        <v>236</v>
      </c>
      <c r="F24" s="36" t="s">
        <v>237</v>
      </c>
      <c r="G24" s="29" t="s">
        <v>238</v>
      </c>
      <c r="H24" s="29" t="s">
        <v>239</v>
      </c>
      <c r="I24" s="29" t="s">
        <v>240</v>
      </c>
      <c r="J24" s="29" t="s">
        <v>241</v>
      </c>
      <c r="K24" s="29" t="s">
        <v>242</v>
      </c>
      <c r="L24" s="28" t="s">
        <v>44</v>
      </c>
      <c r="M24" s="28" t="s">
        <v>33</v>
      </c>
      <c r="N24" s="29" t="s">
        <v>44</v>
      </c>
      <c r="O24" s="29" t="s">
        <v>32</v>
      </c>
      <c r="P24" s="29" t="s">
        <v>31</v>
      </c>
      <c r="Q24" s="29" t="s">
        <v>44</v>
      </c>
      <c r="R24" s="11"/>
      <c r="S24" s="11"/>
      <c r="T24" s="11"/>
      <c r="U24" s="11"/>
      <c r="V24" s="11"/>
      <c r="W24" s="11"/>
      <c r="X24" s="11"/>
      <c r="Y24" s="11"/>
      <c r="Z24" s="11"/>
    </row>
    <row r="25" ht="216.0" customHeight="1">
      <c r="A25" s="25">
        <v>21.0</v>
      </c>
      <c r="B25" s="25" t="s">
        <v>243</v>
      </c>
      <c r="C25" s="26" t="s">
        <v>244</v>
      </c>
      <c r="D25" s="26" t="s">
        <v>217</v>
      </c>
      <c r="E25" s="26" t="s">
        <v>245</v>
      </c>
      <c r="F25" s="38" t="s">
        <v>246</v>
      </c>
      <c r="G25" s="27" t="s">
        <v>247</v>
      </c>
      <c r="H25" s="27" t="s">
        <v>248</v>
      </c>
      <c r="I25" s="27" t="s">
        <v>240</v>
      </c>
      <c r="J25" s="27" t="s">
        <v>249</v>
      </c>
      <c r="K25" s="27" t="s">
        <v>250</v>
      </c>
      <c r="L25" s="25"/>
      <c r="M25" s="25" t="s">
        <v>33</v>
      </c>
      <c r="N25" s="27" t="s">
        <v>30</v>
      </c>
      <c r="O25" s="27" t="s">
        <v>32</v>
      </c>
      <c r="P25" s="27" t="s">
        <v>31</v>
      </c>
      <c r="Q25" s="27" t="s">
        <v>67</v>
      </c>
      <c r="R25" s="11"/>
      <c r="S25" s="11"/>
      <c r="T25" s="11"/>
      <c r="U25" s="11"/>
      <c r="V25" s="11"/>
      <c r="W25" s="11"/>
      <c r="X25" s="11"/>
      <c r="Y25" s="11"/>
      <c r="Z25" s="11"/>
    </row>
    <row r="26" ht="206.25" customHeight="1">
      <c r="A26" s="25">
        <v>77.0</v>
      </c>
      <c r="B26" s="25" t="s">
        <v>251</v>
      </c>
      <c r="C26" s="27" t="s">
        <v>252</v>
      </c>
      <c r="D26" s="27" t="s">
        <v>207</v>
      </c>
      <c r="E26" s="27" t="s">
        <v>253</v>
      </c>
      <c r="F26" s="27" t="s">
        <v>254</v>
      </c>
      <c r="G26" s="27" t="s">
        <v>255</v>
      </c>
      <c r="H26" s="27" t="s">
        <v>256</v>
      </c>
      <c r="I26" s="27" t="s">
        <v>257</v>
      </c>
      <c r="J26" s="27" t="s">
        <v>258</v>
      </c>
      <c r="K26" s="27" t="s">
        <v>259</v>
      </c>
      <c r="L26" s="25" t="s">
        <v>56</v>
      </c>
      <c r="M26" s="25" t="s">
        <v>31</v>
      </c>
      <c r="N26" s="27" t="s">
        <v>56</v>
      </c>
      <c r="O26" s="27" t="s">
        <v>33</v>
      </c>
      <c r="P26" s="27" t="s">
        <v>45</v>
      </c>
      <c r="Q26" s="29" t="s">
        <v>56</v>
      </c>
      <c r="R26" s="11"/>
      <c r="S26" s="11"/>
      <c r="T26" s="11"/>
      <c r="U26" s="11"/>
      <c r="V26" s="11"/>
      <c r="W26" s="11"/>
      <c r="X26" s="11"/>
      <c r="Y26" s="11"/>
      <c r="Z26" s="11"/>
    </row>
    <row r="27" ht="256.5" customHeight="1">
      <c r="A27" s="25">
        <v>23.0</v>
      </c>
      <c r="B27" s="25" t="s">
        <v>260</v>
      </c>
      <c r="C27" s="26" t="s">
        <v>261</v>
      </c>
      <c r="D27" s="26" t="s">
        <v>262</v>
      </c>
      <c r="E27" s="26" t="s">
        <v>263</v>
      </c>
      <c r="F27" s="39" t="s">
        <v>264</v>
      </c>
      <c r="G27" s="26" t="s">
        <v>265</v>
      </c>
      <c r="H27" s="26" t="s">
        <v>266</v>
      </c>
      <c r="I27" s="26" t="s">
        <v>267</v>
      </c>
      <c r="J27" s="26" t="s">
        <v>268</v>
      </c>
      <c r="K27" s="26" t="s">
        <v>269</v>
      </c>
      <c r="L27" s="25" t="s">
        <v>30</v>
      </c>
      <c r="M27" s="25" t="s">
        <v>33</v>
      </c>
      <c r="N27" s="27" t="s">
        <v>30</v>
      </c>
      <c r="O27" s="27" t="s">
        <v>32</v>
      </c>
      <c r="P27" s="27" t="s">
        <v>31</v>
      </c>
      <c r="Q27" s="27" t="s">
        <v>30</v>
      </c>
      <c r="R27" s="11"/>
      <c r="S27" s="11"/>
      <c r="T27" s="11"/>
      <c r="U27" s="11"/>
      <c r="V27" s="11"/>
      <c r="W27" s="11"/>
      <c r="X27" s="11"/>
      <c r="Y27" s="11"/>
      <c r="Z27" s="11"/>
    </row>
    <row r="28" ht="143.25" customHeight="1">
      <c r="A28" s="28">
        <v>24.0</v>
      </c>
      <c r="B28" s="28" t="s">
        <v>270</v>
      </c>
      <c r="C28" s="29" t="s">
        <v>271</v>
      </c>
      <c r="D28" s="29" t="s">
        <v>36</v>
      </c>
      <c r="E28" s="29" t="s">
        <v>272</v>
      </c>
      <c r="F28" s="29" t="s">
        <v>273</v>
      </c>
      <c r="G28" s="29" t="s">
        <v>274</v>
      </c>
      <c r="H28" s="29" t="s">
        <v>275</v>
      </c>
      <c r="I28" s="29" t="s">
        <v>276</v>
      </c>
      <c r="J28" s="29" t="s">
        <v>277</v>
      </c>
      <c r="K28" s="29" t="s">
        <v>278</v>
      </c>
      <c r="L28" s="28" t="s">
        <v>67</v>
      </c>
      <c r="M28" s="28" t="s">
        <v>31</v>
      </c>
      <c r="N28" s="29" t="s">
        <v>67</v>
      </c>
      <c r="O28" s="29" t="s">
        <v>32</v>
      </c>
      <c r="P28" s="29" t="s">
        <v>33</v>
      </c>
      <c r="Q28" s="29" t="s">
        <v>67</v>
      </c>
      <c r="R28" s="11" t="s">
        <v>31</v>
      </c>
      <c r="S28" s="11"/>
      <c r="T28" s="11"/>
      <c r="U28" s="11"/>
      <c r="V28" s="11"/>
      <c r="W28" s="11"/>
      <c r="X28" s="11"/>
      <c r="Y28" s="11"/>
      <c r="Z28" s="11"/>
    </row>
    <row r="29" ht="15.75" customHeight="1">
      <c r="A29" s="25">
        <v>25.0</v>
      </c>
      <c r="B29" s="25" t="s">
        <v>280</v>
      </c>
      <c r="C29" s="27" t="s">
        <v>281</v>
      </c>
      <c r="D29" s="27" t="s">
        <v>36</v>
      </c>
      <c r="E29" s="27" t="s">
        <v>283</v>
      </c>
      <c r="F29" s="27" t="s">
        <v>284</v>
      </c>
      <c r="G29" s="27" t="s">
        <v>286</v>
      </c>
      <c r="H29" s="27" t="s">
        <v>287</v>
      </c>
      <c r="I29" s="27" t="s">
        <v>41</v>
      </c>
      <c r="J29" s="27" t="s">
        <v>289</v>
      </c>
      <c r="K29" s="27" t="s">
        <v>290</v>
      </c>
      <c r="L29" s="25" t="s">
        <v>67</v>
      </c>
      <c r="M29" s="25" t="s">
        <v>31</v>
      </c>
      <c r="N29" s="27" t="s">
        <v>67</v>
      </c>
      <c r="O29" s="27" t="s">
        <v>33</v>
      </c>
      <c r="P29" s="27" t="s">
        <v>32</v>
      </c>
      <c r="Q29" s="27" t="s">
        <v>67</v>
      </c>
      <c r="R29" s="11"/>
      <c r="S29" s="11"/>
      <c r="T29" s="11"/>
      <c r="U29" s="11"/>
      <c r="V29" s="11"/>
      <c r="W29" s="11"/>
      <c r="X29" s="11"/>
      <c r="Y29" s="11"/>
      <c r="Z29" s="11"/>
    </row>
    <row r="30" ht="15.75" customHeight="1">
      <c r="A30" s="28">
        <v>26.0</v>
      </c>
      <c r="B30" s="28" t="s">
        <v>296</v>
      </c>
      <c r="C30" s="29" t="s">
        <v>297</v>
      </c>
      <c r="D30" s="29" t="s">
        <v>36</v>
      </c>
      <c r="E30" s="29" t="s">
        <v>298</v>
      </c>
      <c r="F30" s="29" t="s">
        <v>299</v>
      </c>
      <c r="G30" s="29" t="s">
        <v>300</v>
      </c>
      <c r="H30" s="29" t="s">
        <v>301</v>
      </c>
      <c r="I30" s="29" t="s">
        <v>41</v>
      </c>
      <c r="J30" s="29" t="s">
        <v>302</v>
      </c>
      <c r="K30" s="29" t="s">
        <v>43</v>
      </c>
      <c r="L30" s="28" t="s">
        <v>56</v>
      </c>
      <c r="M30" s="28" t="s">
        <v>31</v>
      </c>
      <c r="N30" s="29" t="s">
        <v>44</v>
      </c>
      <c r="O30" s="29" t="s">
        <v>33</v>
      </c>
      <c r="P30" s="29" t="s">
        <v>32</v>
      </c>
      <c r="Q30" s="29" t="s">
        <v>67</v>
      </c>
      <c r="R30" s="11"/>
      <c r="S30" s="11"/>
      <c r="T30" s="11"/>
      <c r="U30" s="11"/>
      <c r="V30" s="11"/>
      <c r="W30" s="11"/>
      <c r="X30" s="11"/>
      <c r="Y30" s="11"/>
      <c r="Z30" s="11"/>
    </row>
    <row r="31" ht="15.75" customHeight="1">
      <c r="A31" s="28">
        <v>91.0</v>
      </c>
      <c r="B31" s="28" t="s">
        <v>303</v>
      </c>
      <c r="C31" s="29" t="s">
        <v>304</v>
      </c>
      <c r="D31" s="29" t="s">
        <v>306</v>
      </c>
      <c r="E31" s="29" t="s">
        <v>307</v>
      </c>
      <c r="F31" s="29" t="s">
        <v>309</v>
      </c>
      <c r="G31" s="29" t="s">
        <v>310</v>
      </c>
      <c r="H31" s="29" t="s">
        <v>311</v>
      </c>
      <c r="I31" s="29" t="s">
        <v>313</v>
      </c>
      <c r="J31" s="29" t="s">
        <v>314</v>
      </c>
      <c r="K31" s="29" t="s">
        <v>316</v>
      </c>
      <c r="L31" s="28" t="s">
        <v>44</v>
      </c>
      <c r="M31" s="28" t="s">
        <v>31</v>
      </c>
      <c r="N31" s="29" t="s">
        <v>44</v>
      </c>
      <c r="O31" s="29" t="s">
        <v>33</v>
      </c>
      <c r="P31" s="29" t="s">
        <v>45</v>
      </c>
      <c r="Q31" s="27" t="s">
        <v>44</v>
      </c>
      <c r="R31" s="11"/>
      <c r="S31" s="11"/>
      <c r="T31" s="11"/>
      <c r="U31" s="11"/>
      <c r="V31" s="11"/>
      <c r="W31" s="11"/>
      <c r="X31" s="11"/>
      <c r="Y31" s="11"/>
      <c r="Z31" s="11"/>
    </row>
    <row r="32" ht="15.75" customHeight="1">
      <c r="A32" s="25">
        <v>28.0</v>
      </c>
      <c r="B32" s="25" t="s">
        <v>321</v>
      </c>
      <c r="C32" s="27" t="s">
        <v>322</v>
      </c>
      <c r="D32" s="27" t="s">
        <v>36</v>
      </c>
      <c r="E32" s="27" t="s">
        <v>323</v>
      </c>
      <c r="F32" s="27" t="s">
        <v>324</v>
      </c>
      <c r="G32" s="27" t="s">
        <v>325</v>
      </c>
      <c r="H32" s="27" t="s">
        <v>326</v>
      </c>
      <c r="I32" s="27" t="s">
        <v>41</v>
      </c>
      <c r="J32" s="27" t="s">
        <v>327</v>
      </c>
      <c r="K32" s="27" t="s">
        <v>328</v>
      </c>
      <c r="L32" s="25" t="s">
        <v>67</v>
      </c>
      <c r="M32" s="25" t="s">
        <v>31</v>
      </c>
      <c r="N32" s="27" t="s">
        <v>67</v>
      </c>
      <c r="O32" s="27" t="s">
        <v>32</v>
      </c>
      <c r="P32" s="27" t="s">
        <v>33</v>
      </c>
      <c r="Q32" s="27" t="s">
        <v>67</v>
      </c>
      <c r="R32" s="11"/>
      <c r="S32" s="11"/>
      <c r="T32" s="11"/>
      <c r="U32" s="11"/>
      <c r="V32" s="11"/>
      <c r="W32" s="11"/>
      <c r="X32" s="11"/>
      <c r="Y32" s="11"/>
      <c r="Z32" s="11"/>
    </row>
    <row r="33" ht="15.75" customHeight="1">
      <c r="A33" s="28">
        <v>29.0</v>
      </c>
      <c r="B33" s="28" t="s">
        <v>329</v>
      </c>
      <c r="C33" s="29" t="s">
        <v>330</v>
      </c>
      <c r="D33" s="29" t="s">
        <v>36</v>
      </c>
      <c r="E33" s="29" t="s">
        <v>331</v>
      </c>
      <c r="F33" s="29" t="s">
        <v>332</v>
      </c>
      <c r="G33" s="29" t="s">
        <v>333</v>
      </c>
      <c r="H33" s="29" t="s">
        <v>287</v>
      </c>
      <c r="I33" s="29" t="s">
        <v>41</v>
      </c>
      <c r="J33" s="29" t="s">
        <v>334</v>
      </c>
      <c r="K33" s="29" t="s">
        <v>43</v>
      </c>
      <c r="L33" s="28" t="s">
        <v>67</v>
      </c>
      <c r="M33" s="28" t="s">
        <v>31</v>
      </c>
      <c r="N33" s="29" t="s">
        <v>67</v>
      </c>
      <c r="O33" s="29" t="s">
        <v>33</v>
      </c>
      <c r="P33" s="29" t="s">
        <v>32</v>
      </c>
      <c r="Q33" s="29" t="s">
        <v>67</v>
      </c>
      <c r="R33" s="11"/>
      <c r="S33" s="11"/>
      <c r="T33" s="11"/>
      <c r="U33" s="11"/>
      <c r="V33" s="11"/>
      <c r="W33" s="11"/>
      <c r="X33" s="11"/>
      <c r="Y33" s="11"/>
      <c r="Z33" s="11"/>
    </row>
    <row r="34" ht="15.75" customHeight="1">
      <c r="A34" s="25">
        <v>30.0</v>
      </c>
      <c r="B34" s="25" t="s">
        <v>335</v>
      </c>
      <c r="C34" s="27" t="s">
        <v>336</v>
      </c>
      <c r="D34" s="27" t="s">
        <v>36</v>
      </c>
      <c r="E34" s="27" t="s">
        <v>337</v>
      </c>
      <c r="F34" s="27" t="s">
        <v>338</v>
      </c>
      <c r="G34" s="27" t="s">
        <v>339</v>
      </c>
      <c r="H34" s="27" t="s">
        <v>340</v>
      </c>
      <c r="I34" s="27" t="s">
        <v>341</v>
      </c>
      <c r="J34" s="27" t="s">
        <v>342</v>
      </c>
      <c r="K34" s="27" t="s">
        <v>343</v>
      </c>
      <c r="L34" s="25" t="s">
        <v>30</v>
      </c>
      <c r="M34" s="25" t="s">
        <v>31</v>
      </c>
      <c r="N34" s="27" t="s">
        <v>30</v>
      </c>
      <c r="O34" s="27" t="s">
        <v>32</v>
      </c>
      <c r="P34" s="27" t="s">
        <v>33</v>
      </c>
      <c r="Q34" s="27" t="s">
        <v>30</v>
      </c>
      <c r="R34" s="11" t="s">
        <v>31</v>
      </c>
      <c r="S34" s="11"/>
      <c r="T34" s="11"/>
      <c r="U34" s="11"/>
      <c r="V34" s="11"/>
      <c r="W34" s="11"/>
      <c r="X34" s="11"/>
      <c r="Y34" s="11"/>
      <c r="Z34" s="11"/>
    </row>
    <row r="35" ht="15.75" customHeight="1">
      <c r="A35" s="25">
        <v>110.0</v>
      </c>
      <c r="B35" s="25" t="s">
        <v>344</v>
      </c>
      <c r="C35" s="27" t="s">
        <v>345</v>
      </c>
      <c r="D35" s="27" t="s">
        <v>346</v>
      </c>
      <c r="E35" s="27" t="s">
        <v>347</v>
      </c>
      <c r="F35" s="27" t="s">
        <v>348</v>
      </c>
      <c r="G35" s="27" t="s">
        <v>349</v>
      </c>
      <c r="H35" s="27" t="s">
        <v>350</v>
      </c>
      <c r="I35" s="27" t="s">
        <v>351</v>
      </c>
      <c r="J35" s="27" t="s">
        <v>352</v>
      </c>
      <c r="K35" s="27" t="s">
        <v>353</v>
      </c>
      <c r="L35" s="25" t="s">
        <v>44</v>
      </c>
      <c r="M35" s="25" t="s">
        <v>31</v>
      </c>
      <c r="N35" s="27" t="s">
        <v>67</v>
      </c>
      <c r="O35" s="27" t="s">
        <v>33</v>
      </c>
      <c r="P35" s="27" t="s">
        <v>45</v>
      </c>
      <c r="Q35" s="27" t="s">
        <v>67</v>
      </c>
      <c r="R35" s="11"/>
      <c r="S35" s="11"/>
      <c r="T35" s="11"/>
      <c r="U35" s="11"/>
      <c r="V35" s="11"/>
      <c r="W35" s="11"/>
      <c r="X35" s="11"/>
      <c r="Y35" s="11"/>
      <c r="Z35" s="11"/>
    </row>
    <row r="36" ht="15.75" customHeight="1">
      <c r="A36" s="28">
        <v>32.0</v>
      </c>
      <c r="B36" s="28" t="s">
        <v>354</v>
      </c>
      <c r="C36" s="29" t="s">
        <v>355</v>
      </c>
      <c r="D36" s="29" t="s">
        <v>90</v>
      </c>
      <c r="E36" s="29" t="s">
        <v>356</v>
      </c>
      <c r="F36" s="29" t="s">
        <v>357</v>
      </c>
      <c r="G36" s="29" t="s">
        <v>358</v>
      </c>
      <c r="H36" s="29" t="s">
        <v>359</v>
      </c>
      <c r="I36" s="29" t="s">
        <v>360</v>
      </c>
      <c r="J36" s="29" t="s">
        <v>361</v>
      </c>
      <c r="K36" s="29" t="s">
        <v>343</v>
      </c>
      <c r="L36" s="28" t="s">
        <v>30</v>
      </c>
      <c r="M36" s="28" t="s">
        <v>31</v>
      </c>
      <c r="N36" s="29" t="s">
        <v>30</v>
      </c>
      <c r="O36" s="29" t="s">
        <v>45</v>
      </c>
      <c r="P36" s="29" t="s">
        <v>33</v>
      </c>
      <c r="Q36" s="29" t="s">
        <v>30</v>
      </c>
      <c r="R36" s="11" t="s">
        <v>31</v>
      </c>
      <c r="S36" s="11"/>
      <c r="T36" s="11"/>
      <c r="U36" s="11"/>
      <c r="V36" s="11"/>
      <c r="W36" s="11"/>
      <c r="X36" s="11"/>
      <c r="Y36" s="11"/>
      <c r="Z36" s="11"/>
    </row>
    <row r="37" ht="15.75" customHeight="1">
      <c r="A37" s="28">
        <v>138.0</v>
      </c>
      <c r="B37" s="28" t="s">
        <v>362</v>
      </c>
      <c r="C37" s="29" t="s">
        <v>363</v>
      </c>
      <c r="D37" s="29" t="s">
        <v>364</v>
      </c>
      <c r="E37" s="29" t="s">
        <v>365</v>
      </c>
      <c r="F37" s="29" t="s">
        <v>366</v>
      </c>
      <c r="G37" s="29" t="s">
        <v>367</v>
      </c>
      <c r="H37" s="29" t="s">
        <v>368</v>
      </c>
      <c r="I37" s="29" t="s">
        <v>369</v>
      </c>
      <c r="J37" s="29" t="s">
        <v>370</v>
      </c>
      <c r="K37" s="29" t="s">
        <v>371</v>
      </c>
      <c r="L37" s="28" t="s">
        <v>44</v>
      </c>
      <c r="M37" s="28" t="s">
        <v>32</v>
      </c>
      <c r="N37" s="29" t="s">
        <v>67</v>
      </c>
      <c r="O37" s="29" t="s">
        <v>33</v>
      </c>
      <c r="P37" s="29" t="s">
        <v>45</v>
      </c>
      <c r="Q37" s="27" t="s">
        <v>56</v>
      </c>
      <c r="R37" s="11"/>
      <c r="S37" s="11"/>
      <c r="T37" s="11"/>
      <c r="U37" s="11"/>
      <c r="V37" s="11"/>
      <c r="W37" s="11"/>
      <c r="X37" s="11"/>
      <c r="Y37" s="11"/>
      <c r="Z37" s="11"/>
    </row>
    <row r="38" ht="15.75" customHeight="1">
      <c r="A38" s="25">
        <v>34.0</v>
      </c>
      <c r="B38" s="25" t="s">
        <v>372</v>
      </c>
      <c r="C38" s="27" t="s">
        <v>146</v>
      </c>
      <c r="D38" s="27" t="s">
        <v>90</v>
      </c>
      <c r="E38" s="27" t="s">
        <v>373</v>
      </c>
      <c r="F38" s="27" t="s">
        <v>374</v>
      </c>
      <c r="G38" s="27" t="s">
        <v>375</v>
      </c>
      <c r="H38" s="27" t="s">
        <v>376</v>
      </c>
      <c r="I38" s="27" t="s">
        <v>41</v>
      </c>
      <c r="J38" s="27" t="s">
        <v>377</v>
      </c>
      <c r="K38" s="27" t="s">
        <v>378</v>
      </c>
      <c r="L38" s="25" t="s">
        <v>44</v>
      </c>
      <c r="M38" s="25" t="s">
        <v>31</v>
      </c>
      <c r="N38" s="27" t="s">
        <v>44</v>
      </c>
      <c r="O38" s="27" t="s">
        <v>32</v>
      </c>
      <c r="P38" s="27" t="s">
        <v>33</v>
      </c>
      <c r="Q38" s="27" t="s">
        <v>44</v>
      </c>
      <c r="R38" s="11" t="s">
        <v>31</v>
      </c>
      <c r="S38" s="11"/>
      <c r="T38" s="11"/>
      <c r="U38" s="11"/>
      <c r="V38" s="11"/>
      <c r="W38" s="11"/>
      <c r="X38" s="11"/>
      <c r="Y38" s="11"/>
      <c r="Z38" s="11"/>
    </row>
    <row r="39" ht="15.75" customHeight="1">
      <c r="A39" s="28">
        <v>35.0</v>
      </c>
      <c r="B39" s="28" t="s">
        <v>379</v>
      </c>
      <c r="C39" s="29" t="s">
        <v>146</v>
      </c>
      <c r="D39" s="29" t="s">
        <v>90</v>
      </c>
      <c r="E39" s="29" t="s">
        <v>380</v>
      </c>
      <c r="F39" s="29" t="s">
        <v>381</v>
      </c>
      <c r="G39" s="29" t="s">
        <v>382</v>
      </c>
      <c r="H39" s="29" t="s">
        <v>383</v>
      </c>
      <c r="I39" s="29" t="s">
        <v>384</v>
      </c>
      <c r="J39" s="29" t="s">
        <v>385</v>
      </c>
      <c r="K39" s="29" t="s">
        <v>386</v>
      </c>
      <c r="L39" s="28" t="s">
        <v>30</v>
      </c>
      <c r="M39" s="28" t="s">
        <v>31</v>
      </c>
      <c r="N39" s="29" t="s">
        <v>67</v>
      </c>
      <c r="O39" s="29" t="s">
        <v>33</v>
      </c>
      <c r="P39" s="29" t="s">
        <v>32</v>
      </c>
      <c r="Q39" s="29" t="s">
        <v>67</v>
      </c>
      <c r="R39" s="11"/>
      <c r="S39" s="11"/>
      <c r="T39" s="11"/>
      <c r="U39" s="11"/>
      <c r="V39" s="11"/>
      <c r="W39" s="11"/>
      <c r="X39" s="11"/>
      <c r="Y39" s="11"/>
      <c r="Z39" s="11"/>
    </row>
    <row r="40" ht="15.75" customHeight="1">
      <c r="A40" s="25">
        <v>36.0</v>
      </c>
      <c r="B40" s="25" t="s">
        <v>389</v>
      </c>
      <c r="C40" s="27" t="s">
        <v>390</v>
      </c>
      <c r="D40" s="27" t="s">
        <v>90</v>
      </c>
      <c r="E40" s="27" t="s">
        <v>392</v>
      </c>
      <c r="F40" s="27" t="s">
        <v>393</v>
      </c>
      <c r="G40" s="27" t="s">
        <v>395</v>
      </c>
      <c r="H40" s="27" t="s">
        <v>396</v>
      </c>
      <c r="I40" s="27" t="s">
        <v>398</v>
      </c>
      <c r="J40" s="27" t="s">
        <v>400</v>
      </c>
      <c r="K40" s="27" t="s">
        <v>401</v>
      </c>
      <c r="L40" s="25" t="s">
        <v>44</v>
      </c>
      <c r="M40" s="25" t="s">
        <v>31</v>
      </c>
      <c r="N40" s="27" t="s">
        <v>67</v>
      </c>
      <c r="O40" s="27" t="s">
        <v>45</v>
      </c>
      <c r="P40" s="27" t="s">
        <v>32</v>
      </c>
      <c r="Q40" s="27" t="s">
        <v>67</v>
      </c>
      <c r="R40" s="11"/>
      <c r="S40" s="11"/>
      <c r="T40" s="11"/>
      <c r="U40" s="11"/>
      <c r="V40" s="11"/>
      <c r="W40" s="11"/>
      <c r="X40" s="11"/>
      <c r="Y40" s="11"/>
      <c r="Z40" s="11"/>
    </row>
    <row r="41" ht="15.75" customHeight="1">
      <c r="A41" s="28">
        <v>37.0</v>
      </c>
      <c r="B41" s="28" t="s">
        <v>405</v>
      </c>
      <c r="C41" s="29" t="s">
        <v>406</v>
      </c>
      <c r="D41" s="29" t="s">
        <v>90</v>
      </c>
      <c r="E41" s="29" t="s">
        <v>407</v>
      </c>
      <c r="F41" s="29" t="s">
        <v>408</v>
      </c>
      <c r="G41" s="29" t="s">
        <v>409</v>
      </c>
      <c r="H41" s="29" t="s">
        <v>410</v>
      </c>
      <c r="I41" s="29" t="s">
        <v>411</v>
      </c>
      <c r="J41" s="29" t="s">
        <v>412</v>
      </c>
      <c r="K41" s="29" t="s">
        <v>413</v>
      </c>
      <c r="L41" s="28" t="s">
        <v>44</v>
      </c>
      <c r="M41" s="28" t="s">
        <v>31</v>
      </c>
      <c r="N41" s="29" t="s">
        <v>67</v>
      </c>
      <c r="O41" s="29" t="s">
        <v>45</v>
      </c>
      <c r="P41" s="29" t="s">
        <v>33</v>
      </c>
      <c r="Q41" s="29" t="s">
        <v>67</v>
      </c>
      <c r="R41" s="11" t="s">
        <v>31</v>
      </c>
      <c r="S41" s="11"/>
      <c r="T41" s="11"/>
      <c r="U41" s="11"/>
      <c r="V41" s="11"/>
      <c r="W41" s="11"/>
      <c r="X41" s="11"/>
      <c r="Y41" s="11"/>
      <c r="Z41" s="11"/>
    </row>
    <row r="42" ht="15.75" customHeight="1">
      <c r="A42" s="25">
        <v>38.0</v>
      </c>
      <c r="B42" s="25" t="s">
        <v>414</v>
      </c>
      <c r="C42" s="27" t="s">
        <v>415</v>
      </c>
      <c r="D42" s="27" t="s">
        <v>90</v>
      </c>
      <c r="E42" s="27" t="s">
        <v>416</v>
      </c>
      <c r="F42" s="27" t="s">
        <v>417</v>
      </c>
      <c r="G42" s="27" t="s">
        <v>418</v>
      </c>
      <c r="H42" s="27" t="s">
        <v>419</v>
      </c>
      <c r="I42" s="27" t="s">
        <v>420</v>
      </c>
      <c r="J42" s="27" t="s">
        <v>421</v>
      </c>
      <c r="K42" s="27" t="s">
        <v>401</v>
      </c>
      <c r="L42" s="25" t="s">
        <v>44</v>
      </c>
      <c r="M42" s="25" t="s">
        <v>31</v>
      </c>
      <c r="N42" s="27" t="s">
        <v>67</v>
      </c>
      <c r="O42" s="27" t="s">
        <v>45</v>
      </c>
      <c r="P42" s="27" t="s">
        <v>32</v>
      </c>
      <c r="Q42" s="27" t="s">
        <v>67</v>
      </c>
      <c r="R42" s="11"/>
      <c r="S42" s="11"/>
      <c r="T42" s="11"/>
      <c r="U42" s="11"/>
      <c r="V42" s="11"/>
      <c r="W42" s="11"/>
      <c r="X42" s="11"/>
      <c r="Y42" s="11"/>
      <c r="Z42" s="11"/>
    </row>
    <row r="43" ht="15.75" customHeight="1">
      <c r="A43" s="25">
        <v>39.0</v>
      </c>
      <c r="B43" s="25" t="s">
        <v>422</v>
      </c>
      <c r="C43" s="27" t="s">
        <v>423</v>
      </c>
      <c r="D43" s="27" t="s">
        <v>90</v>
      </c>
      <c r="E43" s="27" t="s">
        <v>424</v>
      </c>
      <c r="F43" s="27" t="s">
        <v>425</v>
      </c>
      <c r="G43" s="27" t="s">
        <v>426</v>
      </c>
      <c r="H43" s="27" t="s">
        <v>427</v>
      </c>
      <c r="I43" s="27" t="s">
        <v>428</v>
      </c>
      <c r="J43" s="27" t="s">
        <v>429</v>
      </c>
      <c r="K43" s="27" t="s">
        <v>430</v>
      </c>
      <c r="L43" s="25" t="s">
        <v>30</v>
      </c>
      <c r="M43" s="25" t="s">
        <v>31</v>
      </c>
      <c r="N43" s="27" t="s">
        <v>30</v>
      </c>
      <c r="O43" s="27" t="s">
        <v>45</v>
      </c>
      <c r="P43" s="27" t="s">
        <v>33</v>
      </c>
      <c r="Q43" s="27" t="s">
        <v>30</v>
      </c>
      <c r="R43" s="11" t="s">
        <v>31</v>
      </c>
      <c r="S43" s="11"/>
      <c r="T43" s="11"/>
      <c r="U43" s="11"/>
      <c r="V43" s="11"/>
      <c r="W43" s="11"/>
      <c r="X43" s="11"/>
      <c r="Y43" s="11"/>
      <c r="Z43" s="11"/>
    </row>
    <row r="44" ht="15.75" customHeight="1">
      <c r="A44" s="28">
        <v>40.0</v>
      </c>
      <c r="B44" s="28" t="s">
        <v>431</v>
      </c>
      <c r="C44" s="29" t="s">
        <v>432</v>
      </c>
      <c r="D44" s="29" t="s">
        <v>90</v>
      </c>
      <c r="E44" s="29" t="s">
        <v>433</v>
      </c>
      <c r="F44" s="29" t="s">
        <v>434</v>
      </c>
      <c r="G44" s="29" t="s">
        <v>435</v>
      </c>
      <c r="H44" s="29" t="s">
        <v>436</v>
      </c>
      <c r="I44" s="29" t="s">
        <v>437</v>
      </c>
      <c r="J44" s="29" t="s">
        <v>438</v>
      </c>
      <c r="K44" s="29" t="s">
        <v>439</v>
      </c>
      <c r="L44" s="28" t="s">
        <v>44</v>
      </c>
      <c r="M44" s="28" t="s">
        <v>31</v>
      </c>
      <c r="N44" s="29" t="s">
        <v>30</v>
      </c>
      <c r="O44" s="29" t="s">
        <v>45</v>
      </c>
      <c r="P44" s="29" t="s">
        <v>32</v>
      </c>
      <c r="Q44" s="29" t="s">
        <v>44</v>
      </c>
      <c r="R44" s="11"/>
      <c r="S44" s="11"/>
      <c r="T44" s="11"/>
      <c r="U44" s="11"/>
      <c r="V44" s="11"/>
      <c r="W44" s="11"/>
      <c r="X44" s="11"/>
      <c r="Y44" s="11"/>
      <c r="Z44" s="11"/>
    </row>
    <row r="45" ht="15.75" customHeight="1">
      <c r="A45" s="25">
        <v>143.0</v>
      </c>
      <c r="B45" s="25" t="s">
        <v>440</v>
      </c>
      <c r="C45" s="26" t="s">
        <v>441</v>
      </c>
      <c r="D45" s="27" t="s">
        <v>364</v>
      </c>
      <c r="E45" s="26" t="s">
        <v>442</v>
      </c>
      <c r="F45" s="26" t="s">
        <v>443</v>
      </c>
      <c r="G45" s="26" t="s">
        <v>444</v>
      </c>
      <c r="H45" s="26" t="s">
        <v>445</v>
      </c>
      <c r="I45" s="26" t="s">
        <v>446</v>
      </c>
      <c r="J45" s="26" t="s">
        <v>447</v>
      </c>
      <c r="K45" s="26" t="s">
        <v>448</v>
      </c>
      <c r="L45" s="25" t="s">
        <v>44</v>
      </c>
      <c r="M45" s="25" t="s">
        <v>32</v>
      </c>
      <c r="N45" s="27" t="s">
        <v>44</v>
      </c>
      <c r="O45" s="27" t="s">
        <v>33</v>
      </c>
      <c r="P45" s="27" t="s">
        <v>45</v>
      </c>
      <c r="Q45" s="27" t="s">
        <v>44</v>
      </c>
      <c r="R45" s="11"/>
      <c r="S45" s="11"/>
      <c r="T45" s="11"/>
      <c r="U45" s="11"/>
      <c r="V45" s="11"/>
      <c r="W45" s="11"/>
      <c r="X45" s="11"/>
      <c r="Y45" s="11"/>
      <c r="Z45" s="11"/>
    </row>
    <row r="46" ht="15.75" customHeight="1">
      <c r="A46" s="28">
        <v>144.0</v>
      </c>
      <c r="B46" s="28" t="s">
        <v>449</v>
      </c>
      <c r="C46" s="30" t="s">
        <v>450</v>
      </c>
      <c r="D46" s="29" t="s">
        <v>364</v>
      </c>
      <c r="E46" s="30" t="s">
        <v>451</v>
      </c>
      <c r="F46" s="30" t="s">
        <v>452</v>
      </c>
      <c r="G46" s="30" t="s">
        <v>453</v>
      </c>
      <c r="H46" s="30" t="s">
        <v>454</v>
      </c>
      <c r="I46" s="30" t="s">
        <v>455</v>
      </c>
      <c r="J46" s="30" t="s">
        <v>456</v>
      </c>
      <c r="K46" s="30" t="s">
        <v>457</v>
      </c>
      <c r="L46" s="28" t="s">
        <v>67</v>
      </c>
      <c r="M46" s="28" t="s">
        <v>32</v>
      </c>
      <c r="N46" s="29" t="s">
        <v>67</v>
      </c>
      <c r="O46" s="29" t="s">
        <v>33</v>
      </c>
      <c r="P46" s="29" t="s">
        <v>45</v>
      </c>
      <c r="Q46" s="29" t="s">
        <v>67</v>
      </c>
      <c r="R46" s="11"/>
      <c r="S46" s="11"/>
      <c r="T46" s="11"/>
      <c r="U46" s="11"/>
      <c r="V46" s="11"/>
      <c r="W46" s="11"/>
      <c r="X46" s="11"/>
      <c r="Y46" s="11"/>
      <c r="Z46" s="11"/>
    </row>
    <row r="47" ht="15.75" customHeight="1">
      <c r="A47" s="25">
        <v>43.0</v>
      </c>
      <c r="B47" s="25" t="s">
        <v>458</v>
      </c>
      <c r="C47" s="27" t="s">
        <v>355</v>
      </c>
      <c r="D47" s="27" t="s">
        <v>90</v>
      </c>
      <c r="E47" s="27" t="s">
        <v>459</v>
      </c>
      <c r="F47" s="27" t="s">
        <v>460</v>
      </c>
      <c r="G47" s="27" t="s">
        <v>461</v>
      </c>
      <c r="H47" s="27" t="s">
        <v>462</v>
      </c>
      <c r="I47" s="27" t="s">
        <v>463</v>
      </c>
      <c r="J47" s="27" t="s">
        <v>464</v>
      </c>
      <c r="K47" s="27" t="s">
        <v>465</v>
      </c>
      <c r="L47" s="25" t="s">
        <v>30</v>
      </c>
      <c r="M47" s="25" t="s">
        <v>31</v>
      </c>
      <c r="N47" s="27" t="s">
        <v>30</v>
      </c>
      <c r="O47" s="27" t="s">
        <v>45</v>
      </c>
      <c r="P47" s="27" t="s">
        <v>33</v>
      </c>
      <c r="Q47" s="27" t="s">
        <v>30</v>
      </c>
      <c r="R47" s="11"/>
      <c r="S47" s="11"/>
      <c r="T47" s="11"/>
      <c r="U47" s="11"/>
      <c r="V47" s="11"/>
      <c r="W47" s="11"/>
      <c r="X47" s="11"/>
      <c r="Y47" s="11"/>
      <c r="Z47" s="11"/>
    </row>
    <row r="48" ht="15.75" customHeight="1">
      <c r="A48" s="25">
        <v>148.0</v>
      </c>
      <c r="B48" s="25" t="s">
        <v>466</v>
      </c>
      <c r="C48" s="26" t="s">
        <v>467</v>
      </c>
      <c r="D48" s="27" t="s">
        <v>364</v>
      </c>
      <c r="E48" s="26" t="s">
        <v>468</v>
      </c>
      <c r="F48" s="26" t="s">
        <v>469</v>
      </c>
      <c r="G48" s="26" t="s">
        <v>470</v>
      </c>
      <c r="H48" s="26" t="s">
        <v>471</v>
      </c>
      <c r="I48" s="26" t="s">
        <v>472</v>
      </c>
      <c r="J48" s="26" t="s">
        <v>473</v>
      </c>
      <c r="K48" s="26" t="s">
        <v>474</v>
      </c>
      <c r="L48" s="25" t="s">
        <v>30</v>
      </c>
      <c r="M48" s="25" t="s">
        <v>32</v>
      </c>
      <c r="N48" s="27" t="s">
        <v>44</v>
      </c>
      <c r="O48" s="27" t="s">
        <v>33</v>
      </c>
      <c r="P48" s="27" t="s">
        <v>45</v>
      </c>
      <c r="Q48" s="27" t="s">
        <v>67</v>
      </c>
      <c r="R48" s="11"/>
      <c r="S48" s="11"/>
      <c r="T48" s="11"/>
      <c r="U48" s="11"/>
      <c r="V48" s="11"/>
      <c r="W48" s="11"/>
      <c r="X48" s="11"/>
      <c r="Y48" s="11"/>
      <c r="Z48" s="11"/>
    </row>
    <row r="49" ht="15.75" customHeight="1">
      <c r="A49" s="25">
        <v>150.0</v>
      </c>
      <c r="B49" s="25" t="s">
        <v>475</v>
      </c>
      <c r="C49" s="26" t="s">
        <v>476</v>
      </c>
      <c r="D49" s="27" t="s">
        <v>364</v>
      </c>
      <c r="E49" s="26" t="s">
        <v>477</v>
      </c>
      <c r="F49" s="26" t="s">
        <v>478</v>
      </c>
      <c r="G49" s="26" t="s">
        <v>479</v>
      </c>
      <c r="H49" s="26" t="s">
        <v>480</v>
      </c>
      <c r="I49" s="26" t="s">
        <v>481</v>
      </c>
      <c r="J49" s="26" t="s">
        <v>482</v>
      </c>
      <c r="K49" s="26" t="s">
        <v>483</v>
      </c>
      <c r="L49" s="25" t="s">
        <v>30</v>
      </c>
      <c r="M49" s="25" t="s">
        <v>32</v>
      </c>
      <c r="N49" s="27" t="s">
        <v>67</v>
      </c>
      <c r="O49" s="27" t="s">
        <v>33</v>
      </c>
      <c r="P49" s="27" t="s">
        <v>45</v>
      </c>
      <c r="Q49" s="27" t="s">
        <v>44</v>
      </c>
      <c r="R49" s="11"/>
      <c r="S49" s="11"/>
      <c r="T49" s="11"/>
      <c r="U49" s="11"/>
      <c r="V49" s="11"/>
      <c r="W49" s="11"/>
      <c r="X49" s="11"/>
      <c r="Y49" s="11"/>
      <c r="Z49" s="11"/>
    </row>
    <row r="50" ht="15.75" customHeight="1">
      <c r="A50" s="28">
        <v>46.0</v>
      </c>
      <c r="B50" s="28" t="s">
        <v>490</v>
      </c>
      <c r="C50" s="29" t="s">
        <v>415</v>
      </c>
      <c r="D50" s="29" t="s">
        <v>90</v>
      </c>
      <c r="E50" s="29" t="s">
        <v>492</v>
      </c>
      <c r="F50" s="29" t="s">
        <v>494</v>
      </c>
      <c r="G50" s="29" t="s">
        <v>495</v>
      </c>
      <c r="H50" s="29" t="s">
        <v>497</v>
      </c>
      <c r="I50" s="29" t="s">
        <v>498</v>
      </c>
      <c r="J50" s="29" t="s">
        <v>499</v>
      </c>
      <c r="K50" s="29" t="s">
        <v>500</v>
      </c>
      <c r="L50" s="28" t="s">
        <v>30</v>
      </c>
      <c r="M50" s="28" t="s">
        <v>31</v>
      </c>
      <c r="N50" s="29" t="s">
        <v>30</v>
      </c>
      <c r="O50" s="29" t="s">
        <v>33</v>
      </c>
      <c r="P50" s="29" t="s">
        <v>32</v>
      </c>
      <c r="Q50" s="29" t="s">
        <v>30</v>
      </c>
      <c r="R50" s="11"/>
      <c r="S50" s="11"/>
      <c r="T50" s="11"/>
      <c r="U50" s="11"/>
      <c r="V50" s="11"/>
      <c r="W50" s="11"/>
      <c r="X50" s="11"/>
      <c r="Y50" s="11"/>
      <c r="Z50" s="11"/>
    </row>
    <row r="51" ht="15.75" customHeight="1">
      <c r="A51" s="25">
        <v>47.0</v>
      </c>
      <c r="B51" s="25" t="s">
        <v>501</v>
      </c>
      <c r="C51" s="27" t="s">
        <v>502</v>
      </c>
      <c r="D51" s="27" t="s">
        <v>90</v>
      </c>
      <c r="E51" s="27" t="s">
        <v>503</v>
      </c>
      <c r="F51" s="27" t="s">
        <v>504</v>
      </c>
      <c r="G51" s="27" t="s">
        <v>505</v>
      </c>
      <c r="H51" s="27" t="s">
        <v>506</v>
      </c>
      <c r="I51" s="27" t="s">
        <v>507</v>
      </c>
      <c r="J51" s="27" t="s">
        <v>508</v>
      </c>
      <c r="K51" s="27" t="s">
        <v>509</v>
      </c>
      <c r="L51" s="25" t="s">
        <v>56</v>
      </c>
      <c r="M51" s="25" t="s">
        <v>31</v>
      </c>
      <c r="N51" s="27" t="s">
        <v>56</v>
      </c>
      <c r="O51" s="27" t="s">
        <v>33</v>
      </c>
      <c r="P51" s="27" t="s">
        <v>32</v>
      </c>
      <c r="Q51" s="27" t="s">
        <v>67</v>
      </c>
      <c r="R51" s="11"/>
      <c r="S51" s="11"/>
      <c r="T51" s="11"/>
      <c r="U51" s="11"/>
      <c r="V51" s="11"/>
      <c r="W51" s="11"/>
      <c r="X51" s="11"/>
      <c r="Y51" s="11"/>
      <c r="Z51" s="11"/>
    </row>
    <row r="52" ht="15.75" customHeight="1">
      <c r="A52" s="28">
        <v>153.0</v>
      </c>
      <c r="B52" s="28" t="s">
        <v>510</v>
      </c>
      <c r="C52" s="30" t="s">
        <v>450</v>
      </c>
      <c r="D52" s="29" t="s">
        <v>364</v>
      </c>
      <c r="E52" s="30" t="s">
        <v>511</v>
      </c>
      <c r="F52" s="30" t="s">
        <v>512</v>
      </c>
      <c r="G52" s="30" t="s">
        <v>513</v>
      </c>
      <c r="H52" s="30" t="s">
        <v>514</v>
      </c>
      <c r="I52" s="30" t="s">
        <v>515</v>
      </c>
      <c r="J52" s="30" t="s">
        <v>516</v>
      </c>
      <c r="K52" s="30" t="s">
        <v>517</v>
      </c>
      <c r="L52" s="28" t="s">
        <v>44</v>
      </c>
      <c r="M52" s="28" t="s">
        <v>32</v>
      </c>
      <c r="N52" s="29" t="s">
        <v>44</v>
      </c>
      <c r="O52" s="29" t="s">
        <v>33</v>
      </c>
      <c r="P52" s="29" t="s">
        <v>45</v>
      </c>
      <c r="Q52" s="29" t="s">
        <v>44</v>
      </c>
      <c r="R52" s="11"/>
      <c r="S52" s="11"/>
      <c r="T52" s="11"/>
      <c r="U52" s="11"/>
      <c r="V52" s="11"/>
      <c r="W52" s="11"/>
      <c r="X52" s="11"/>
      <c r="Y52" s="11"/>
      <c r="Z52" s="11"/>
    </row>
    <row r="53" ht="15.75" customHeight="1">
      <c r="A53" s="25">
        <v>49.0</v>
      </c>
      <c r="B53" s="25" t="s">
        <v>518</v>
      </c>
      <c r="C53" s="27" t="s">
        <v>355</v>
      </c>
      <c r="D53" s="27" t="s">
        <v>90</v>
      </c>
      <c r="E53" s="27" t="s">
        <v>519</v>
      </c>
      <c r="F53" s="27" t="s">
        <v>520</v>
      </c>
      <c r="G53" s="27" t="s">
        <v>521</v>
      </c>
      <c r="H53" s="27" t="s">
        <v>522</v>
      </c>
      <c r="I53" s="27" t="s">
        <v>523</v>
      </c>
      <c r="J53" s="27" t="s">
        <v>524</v>
      </c>
      <c r="K53" s="27" t="s">
        <v>525</v>
      </c>
      <c r="L53" s="25" t="s">
        <v>30</v>
      </c>
      <c r="M53" s="25" t="s">
        <v>31</v>
      </c>
      <c r="N53" s="27" t="s">
        <v>30</v>
      </c>
      <c r="O53" s="27" t="s">
        <v>45</v>
      </c>
      <c r="P53" s="27" t="s">
        <v>33</v>
      </c>
      <c r="Q53" s="27" t="s">
        <v>30</v>
      </c>
      <c r="R53" s="11"/>
      <c r="S53" s="11"/>
      <c r="T53" s="11"/>
      <c r="U53" s="11"/>
      <c r="V53" s="11"/>
      <c r="W53" s="11"/>
      <c r="X53" s="11"/>
      <c r="Y53" s="11"/>
      <c r="Z53" s="11"/>
    </row>
    <row r="54" ht="15.75" customHeight="1">
      <c r="A54" s="28">
        <v>50.0</v>
      </c>
      <c r="B54" s="28" t="s">
        <v>530</v>
      </c>
      <c r="C54" s="29" t="s">
        <v>532</v>
      </c>
      <c r="D54" s="29" t="s">
        <v>90</v>
      </c>
      <c r="E54" s="29" t="s">
        <v>533</v>
      </c>
      <c r="F54" s="29" t="s">
        <v>534</v>
      </c>
      <c r="G54" s="29" t="s">
        <v>536</v>
      </c>
      <c r="H54" s="29" t="s">
        <v>537</v>
      </c>
      <c r="I54" s="29" t="s">
        <v>538</v>
      </c>
      <c r="J54" s="29" t="s">
        <v>539</v>
      </c>
      <c r="K54" s="29" t="s">
        <v>541</v>
      </c>
      <c r="L54" s="28" t="s">
        <v>44</v>
      </c>
      <c r="M54" s="28" t="s">
        <v>31</v>
      </c>
      <c r="N54" s="29" t="s">
        <v>44</v>
      </c>
      <c r="O54" s="29" t="s">
        <v>32</v>
      </c>
      <c r="P54" s="29" t="s">
        <v>33</v>
      </c>
      <c r="Q54" s="29" t="s">
        <v>44</v>
      </c>
      <c r="R54" s="11" t="s">
        <v>31</v>
      </c>
      <c r="S54" s="11"/>
      <c r="T54" s="11"/>
      <c r="U54" s="11"/>
      <c r="V54" s="11"/>
      <c r="W54" s="11"/>
      <c r="X54" s="11"/>
      <c r="Y54" s="11"/>
      <c r="Z54" s="11"/>
    </row>
    <row r="55" ht="15.75" customHeight="1">
      <c r="A55" s="25">
        <v>156.0</v>
      </c>
      <c r="B55" s="25" t="s">
        <v>544</v>
      </c>
      <c r="C55" s="26" t="s">
        <v>545</v>
      </c>
      <c r="D55" s="27" t="s">
        <v>364</v>
      </c>
      <c r="E55" s="26" t="s">
        <v>546</v>
      </c>
      <c r="F55" s="26" t="s">
        <v>547</v>
      </c>
      <c r="G55" s="26" t="s">
        <v>548</v>
      </c>
      <c r="H55" s="26" t="s">
        <v>549</v>
      </c>
      <c r="I55" s="26" t="s">
        <v>551</v>
      </c>
      <c r="J55" s="26" t="s">
        <v>553</v>
      </c>
      <c r="K55" s="26" t="s">
        <v>556</v>
      </c>
      <c r="L55" s="25" t="s">
        <v>67</v>
      </c>
      <c r="M55" s="25" t="s">
        <v>32</v>
      </c>
      <c r="N55" s="27" t="s">
        <v>67</v>
      </c>
      <c r="O55" s="27" t="s">
        <v>33</v>
      </c>
      <c r="P55" s="27" t="s">
        <v>45</v>
      </c>
      <c r="Q55" s="27" t="s">
        <v>67</v>
      </c>
      <c r="R55" s="11"/>
      <c r="S55" s="11"/>
      <c r="T55" s="11"/>
      <c r="U55" s="11"/>
      <c r="V55" s="11"/>
      <c r="W55" s="11"/>
      <c r="X55" s="11"/>
      <c r="Y55" s="11"/>
      <c r="Z55" s="11"/>
    </row>
    <row r="56" ht="15.75" customHeight="1">
      <c r="A56" s="28">
        <v>52.0</v>
      </c>
      <c r="B56" s="28" t="s">
        <v>566</v>
      </c>
      <c r="C56" s="29" t="s">
        <v>568</v>
      </c>
      <c r="D56" s="29" t="s">
        <v>90</v>
      </c>
      <c r="E56" s="29" t="s">
        <v>571</v>
      </c>
      <c r="F56" s="29" t="s">
        <v>572</v>
      </c>
      <c r="G56" s="29" t="s">
        <v>573</v>
      </c>
      <c r="H56" s="29" t="s">
        <v>574</v>
      </c>
      <c r="I56" s="29" t="s">
        <v>576</v>
      </c>
      <c r="J56" s="29" t="s">
        <v>578</v>
      </c>
      <c r="K56" s="29" t="s">
        <v>579</v>
      </c>
      <c r="L56" s="28" t="s">
        <v>44</v>
      </c>
      <c r="M56" s="28" t="s">
        <v>31</v>
      </c>
      <c r="N56" s="29" t="s">
        <v>44</v>
      </c>
      <c r="O56" s="29" t="s">
        <v>45</v>
      </c>
      <c r="P56" s="29" t="s">
        <v>32</v>
      </c>
      <c r="Q56" s="29" t="s">
        <v>44</v>
      </c>
      <c r="R56" s="11"/>
      <c r="S56" s="11"/>
      <c r="T56" s="11"/>
      <c r="U56" s="11"/>
      <c r="V56" s="11"/>
      <c r="W56" s="11"/>
      <c r="X56" s="11"/>
      <c r="Y56" s="11"/>
      <c r="Z56" s="11"/>
    </row>
    <row r="57" ht="15.75" customHeight="1">
      <c r="A57" s="25">
        <v>53.0</v>
      </c>
      <c r="B57" s="25" t="s">
        <v>598</v>
      </c>
      <c r="C57" s="27" t="s">
        <v>599</v>
      </c>
      <c r="D57" s="27" t="s">
        <v>90</v>
      </c>
      <c r="E57" s="27" t="s">
        <v>601</v>
      </c>
      <c r="F57" s="27" t="s">
        <v>603</v>
      </c>
      <c r="G57" s="27" t="s">
        <v>605</v>
      </c>
      <c r="H57" s="27" t="s">
        <v>608</v>
      </c>
      <c r="I57" s="27" t="s">
        <v>609</v>
      </c>
      <c r="J57" s="27" t="s">
        <v>610</v>
      </c>
      <c r="K57" s="27" t="s">
        <v>611</v>
      </c>
      <c r="L57" s="25" t="s">
        <v>30</v>
      </c>
      <c r="M57" s="25" t="s">
        <v>31</v>
      </c>
      <c r="N57" s="27" t="s">
        <v>30</v>
      </c>
      <c r="O57" s="27" t="s">
        <v>45</v>
      </c>
      <c r="P57" s="27" t="s">
        <v>33</v>
      </c>
      <c r="Q57" s="27" t="s">
        <v>30</v>
      </c>
      <c r="R57" s="11"/>
      <c r="S57" s="11"/>
      <c r="T57" s="11"/>
      <c r="U57" s="11"/>
      <c r="V57" s="11"/>
      <c r="W57" s="11"/>
      <c r="X57" s="11"/>
      <c r="Y57" s="11"/>
      <c r="Z57" s="11"/>
    </row>
    <row r="58" ht="15.75" customHeight="1">
      <c r="A58" s="28">
        <v>54.0</v>
      </c>
      <c r="B58" s="28" t="s">
        <v>616</v>
      </c>
      <c r="C58" s="29" t="s">
        <v>415</v>
      </c>
      <c r="D58" s="29" t="s">
        <v>90</v>
      </c>
      <c r="E58" s="29" t="s">
        <v>619</v>
      </c>
      <c r="F58" s="29" t="s">
        <v>620</v>
      </c>
      <c r="G58" s="29" t="s">
        <v>621</v>
      </c>
      <c r="H58" s="29" t="s">
        <v>622</v>
      </c>
      <c r="I58" s="29" t="s">
        <v>623</v>
      </c>
      <c r="J58" s="29" t="s">
        <v>624</v>
      </c>
      <c r="K58" s="29" t="s">
        <v>625</v>
      </c>
      <c r="L58" s="28" t="s">
        <v>44</v>
      </c>
      <c r="M58" s="28" t="s">
        <v>31</v>
      </c>
      <c r="N58" s="29" t="s">
        <v>44</v>
      </c>
      <c r="O58" s="29" t="s">
        <v>45</v>
      </c>
      <c r="P58" s="29" t="s">
        <v>32</v>
      </c>
      <c r="Q58" s="29" t="s">
        <v>44</v>
      </c>
      <c r="R58" s="11"/>
      <c r="S58" s="11"/>
      <c r="T58" s="11"/>
      <c r="U58" s="11"/>
      <c r="V58" s="11"/>
      <c r="W58" s="11"/>
      <c r="X58" s="11"/>
      <c r="Y58" s="11"/>
      <c r="Z58" s="11"/>
    </row>
    <row r="59" ht="15.75" customHeight="1">
      <c r="A59" s="28">
        <v>55.0</v>
      </c>
      <c r="B59" s="28" t="s">
        <v>631</v>
      </c>
      <c r="C59" s="29" t="s">
        <v>633</v>
      </c>
      <c r="D59" s="29" t="s">
        <v>90</v>
      </c>
      <c r="E59" s="29" t="s">
        <v>634</v>
      </c>
      <c r="F59" s="29" t="s">
        <v>635</v>
      </c>
      <c r="G59" s="29" t="s">
        <v>636</v>
      </c>
      <c r="H59" s="29" t="s">
        <v>637</v>
      </c>
      <c r="I59" s="29" t="s">
        <v>638</v>
      </c>
      <c r="J59" s="29" t="s">
        <v>639</v>
      </c>
      <c r="K59" s="29" t="s">
        <v>641</v>
      </c>
      <c r="L59" s="28" t="s">
        <v>44</v>
      </c>
      <c r="M59" s="28" t="s">
        <v>31</v>
      </c>
      <c r="N59" s="29" t="s">
        <v>44</v>
      </c>
      <c r="O59" s="29" t="s">
        <v>45</v>
      </c>
      <c r="P59" s="29" t="s">
        <v>33</v>
      </c>
      <c r="Q59" s="29" t="s">
        <v>44</v>
      </c>
      <c r="R59" s="11"/>
      <c r="S59" s="11"/>
      <c r="T59" s="11"/>
      <c r="U59" s="11"/>
      <c r="V59" s="11"/>
      <c r="W59" s="11"/>
      <c r="X59" s="11"/>
      <c r="Y59" s="11"/>
      <c r="Z59" s="11"/>
    </row>
    <row r="60" ht="15.75" customHeight="1">
      <c r="A60" s="25">
        <v>56.0</v>
      </c>
      <c r="B60" s="25" t="s">
        <v>647</v>
      </c>
      <c r="C60" s="27" t="s">
        <v>648</v>
      </c>
      <c r="D60" s="27" t="s">
        <v>90</v>
      </c>
      <c r="E60" s="27" t="s">
        <v>649</v>
      </c>
      <c r="F60" s="27" t="s">
        <v>650</v>
      </c>
      <c r="G60" s="27" t="s">
        <v>651</v>
      </c>
      <c r="H60" s="27" t="s">
        <v>652</v>
      </c>
      <c r="I60" s="27" t="s">
        <v>653</v>
      </c>
      <c r="J60" s="27" t="s">
        <v>654</v>
      </c>
      <c r="K60" s="27" t="s">
        <v>655</v>
      </c>
      <c r="L60" s="25" t="s">
        <v>30</v>
      </c>
      <c r="M60" s="25" t="s">
        <v>31</v>
      </c>
      <c r="N60" s="27" t="s">
        <v>44</v>
      </c>
      <c r="O60" s="27" t="s">
        <v>45</v>
      </c>
      <c r="P60" s="27" t="s">
        <v>32</v>
      </c>
      <c r="Q60" s="27" t="s">
        <v>44</v>
      </c>
      <c r="R60" s="11"/>
      <c r="S60" s="11"/>
      <c r="T60" s="11"/>
      <c r="U60" s="11"/>
      <c r="V60" s="11"/>
      <c r="W60" s="11"/>
      <c r="X60" s="11"/>
      <c r="Y60" s="11"/>
      <c r="Z60" s="11"/>
    </row>
    <row r="61" ht="15.75" customHeight="1">
      <c r="A61" s="25">
        <v>170.0</v>
      </c>
      <c r="B61" s="25" t="s">
        <v>659</v>
      </c>
      <c r="C61" s="27" t="s">
        <v>661</v>
      </c>
      <c r="D61" s="27" t="s">
        <v>364</v>
      </c>
      <c r="E61" s="27" t="s">
        <v>663</v>
      </c>
      <c r="F61" s="27" t="s">
        <v>664</v>
      </c>
      <c r="G61" s="27" t="s">
        <v>666</v>
      </c>
      <c r="H61" s="27" t="s">
        <v>667</v>
      </c>
      <c r="I61" s="27" t="s">
        <v>668</v>
      </c>
      <c r="J61" s="27" t="s">
        <v>669</v>
      </c>
      <c r="K61" s="27" t="s">
        <v>670</v>
      </c>
      <c r="L61" s="25" t="s">
        <v>67</v>
      </c>
      <c r="M61" s="25" t="s">
        <v>32</v>
      </c>
      <c r="N61" s="27" t="s">
        <v>56</v>
      </c>
      <c r="O61" s="27" t="s">
        <v>33</v>
      </c>
      <c r="P61" s="27" t="s">
        <v>45</v>
      </c>
      <c r="Q61" s="27" t="s">
        <v>56</v>
      </c>
      <c r="R61" s="11"/>
      <c r="S61" s="11"/>
      <c r="T61" s="11"/>
      <c r="U61" s="11"/>
      <c r="V61" s="11"/>
      <c r="W61" s="11"/>
      <c r="X61" s="11"/>
      <c r="Y61" s="11"/>
      <c r="Z61" s="11"/>
    </row>
    <row r="62" ht="15.75" customHeight="1">
      <c r="A62" s="25">
        <v>172.0</v>
      </c>
      <c r="B62" s="25" t="s">
        <v>678</v>
      </c>
      <c r="C62" s="27" t="s">
        <v>661</v>
      </c>
      <c r="D62" s="27" t="s">
        <v>364</v>
      </c>
      <c r="E62" s="27" t="s">
        <v>680</v>
      </c>
      <c r="F62" s="27" t="s">
        <v>682</v>
      </c>
      <c r="G62" s="27" t="s">
        <v>684</v>
      </c>
      <c r="H62" s="27" t="s">
        <v>686</v>
      </c>
      <c r="I62" s="27" t="s">
        <v>689</v>
      </c>
      <c r="J62" s="27" t="s">
        <v>693</v>
      </c>
      <c r="K62" s="27" t="s">
        <v>696</v>
      </c>
      <c r="L62" s="25" t="s">
        <v>30</v>
      </c>
      <c r="M62" s="25" t="s">
        <v>32</v>
      </c>
      <c r="N62" s="27" t="s">
        <v>30</v>
      </c>
      <c r="O62" s="27" t="s">
        <v>33</v>
      </c>
      <c r="P62" s="27" t="s">
        <v>45</v>
      </c>
      <c r="Q62" s="27" t="s">
        <v>30</v>
      </c>
      <c r="R62" s="11"/>
      <c r="S62" s="11"/>
      <c r="T62" s="11"/>
      <c r="U62" s="11"/>
      <c r="V62" s="11"/>
      <c r="W62" s="11"/>
      <c r="X62" s="11"/>
      <c r="Y62" s="11"/>
      <c r="Z62" s="11"/>
    </row>
    <row r="63" ht="15.75" customHeight="1">
      <c r="A63" s="28">
        <v>59.0</v>
      </c>
      <c r="B63" s="28" t="s">
        <v>702</v>
      </c>
      <c r="C63" s="29" t="s">
        <v>704</v>
      </c>
      <c r="D63" s="29" t="s">
        <v>90</v>
      </c>
      <c r="E63" s="29" t="s">
        <v>706</v>
      </c>
      <c r="F63" s="29" t="s">
        <v>707</v>
      </c>
      <c r="G63" s="29" t="s">
        <v>708</v>
      </c>
      <c r="H63" s="29" t="s">
        <v>709</v>
      </c>
      <c r="I63" s="29" t="s">
        <v>710</v>
      </c>
      <c r="J63" s="29" t="s">
        <v>712</v>
      </c>
      <c r="K63" s="29" t="s">
        <v>655</v>
      </c>
      <c r="L63" s="28" t="s">
        <v>56</v>
      </c>
      <c r="M63" s="28" t="s">
        <v>31</v>
      </c>
      <c r="N63" s="29" t="s">
        <v>56</v>
      </c>
      <c r="O63" s="29" t="s">
        <v>33</v>
      </c>
      <c r="P63" s="29" t="s">
        <v>32</v>
      </c>
      <c r="Q63" s="29" t="s">
        <v>44</v>
      </c>
      <c r="R63" s="11"/>
      <c r="S63" s="11"/>
      <c r="T63" s="11"/>
      <c r="U63" s="11"/>
      <c r="V63" s="11"/>
      <c r="W63" s="11"/>
      <c r="X63" s="11"/>
      <c r="Y63" s="11"/>
      <c r="Z63" s="11"/>
    </row>
    <row r="64" ht="15.75" customHeight="1">
      <c r="A64" s="28">
        <v>60.0</v>
      </c>
      <c r="B64" s="28" t="s">
        <v>718</v>
      </c>
      <c r="C64" s="29" t="s">
        <v>719</v>
      </c>
      <c r="D64" s="29" t="s">
        <v>90</v>
      </c>
      <c r="E64" s="29" t="s">
        <v>721</v>
      </c>
      <c r="F64" s="29" t="s">
        <v>723</v>
      </c>
      <c r="G64" s="29" t="s">
        <v>725</v>
      </c>
      <c r="H64" s="29" t="s">
        <v>729</v>
      </c>
      <c r="I64" s="29" t="s">
        <v>732</v>
      </c>
      <c r="J64" s="29" t="s">
        <v>734</v>
      </c>
      <c r="K64" s="29" t="s">
        <v>736</v>
      </c>
      <c r="L64" s="28" t="s">
        <v>30</v>
      </c>
      <c r="M64" s="28" t="s">
        <v>31</v>
      </c>
      <c r="N64" s="29" t="s">
        <v>30</v>
      </c>
      <c r="O64" s="29" t="s">
        <v>32</v>
      </c>
      <c r="P64" s="29" t="s">
        <v>33</v>
      </c>
      <c r="Q64" s="29" t="s">
        <v>30</v>
      </c>
      <c r="R64" s="11"/>
      <c r="S64" s="11"/>
      <c r="T64" s="11"/>
      <c r="U64" s="11"/>
      <c r="V64" s="11"/>
      <c r="W64" s="11"/>
      <c r="X64" s="11"/>
      <c r="Y64" s="11"/>
      <c r="Z64" s="11"/>
    </row>
    <row r="65" ht="15.75" customHeight="1">
      <c r="A65" s="25">
        <v>61.0</v>
      </c>
      <c r="B65" s="25" t="s">
        <v>747</v>
      </c>
      <c r="C65" s="27" t="s">
        <v>748</v>
      </c>
      <c r="D65" s="27" t="s">
        <v>90</v>
      </c>
      <c r="E65" s="27" t="s">
        <v>751</v>
      </c>
      <c r="F65" s="27" t="s">
        <v>753</v>
      </c>
      <c r="G65" s="27" t="s">
        <v>756</v>
      </c>
      <c r="H65" s="27" t="s">
        <v>757</v>
      </c>
      <c r="I65" s="27" t="s">
        <v>758</v>
      </c>
      <c r="J65" s="27" t="s">
        <v>759</v>
      </c>
      <c r="K65" s="27" t="s">
        <v>761</v>
      </c>
      <c r="L65" s="25" t="s">
        <v>30</v>
      </c>
      <c r="M65" s="25" t="s">
        <v>31</v>
      </c>
      <c r="N65" s="27" t="s">
        <v>30</v>
      </c>
      <c r="O65" s="27" t="s">
        <v>45</v>
      </c>
      <c r="P65" s="27" t="s">
        <v>33</v>
      </c>
      <c r="Q65" s="27" t="s">
        <v>30</v>
      </c>
      <c r="R65" s="11" t="s">
        <v>31</v>
      </c>
      <c r="S65" s="11"/>
      <c r="T65" s="11"/>
      <c r="U65" s="11"/>
      <c r="V65" s="11"/>
      <c r="W65" s="11"/>
      <c r="X65" s="11"/>
      <c r="Y65" s="11"/>
      <c r="Z65" s="11"/>
    </row>
    <row r="66" ht="59.25" customHeight="1">
      <c r="A66" s="41">
        <v>62.0</v>
      </c>
      <c r="B66" s="41" t="s">
        <v>779</v>
      </c>
      <c r="C66" s="36" t="s">
        <v>58</v>
      </c>
      <c r="D66" s="36" t="s">
        <v>783</v>
      </c>
      <c r="E66" s="36" t="s">
        <v>786</v>
      </c>
      <c r="F66" s="36" t="s">
        <v>788</v>
      </c>
      <c r="G66" s="36" t="s">
        <v>789</v>
      </c>
      <c r="H66" s="36" t="s">
        <v>791</v>
      </c>
      <c r="I66" s="36" t="s">
        <v>793</v>
      </c>
      <c r="J66" s="36" t="s">
        <v>795</v>
      </c>
      <c r="K66" s="29"/>
      <c r="L66" s="28" t="s">
        <v>98</v>
      </c>
      <c r="M66" s="28" t="s">
        <v>33</v>
      </c>
      <c r="N66" s="29" t="s">
        <v>98</v>
      </c>
      <c r="O66" s="29" t="s">
        <v>32</v>
      </c>
      <c r="P66" s="29" t="s">
        <v>31</v>
      </c>
      <c r="Q66" s="29" t="s">
        <v>98</v>
      </c>
      <c r="R66" s="11"/>
      <c r="S66" s="11"/>
      <c r="T66" s="11"/>
      <c r="U66" s="11"/>
      <c r="V66" s="11"/>
      <c r="W66" s="11"/>
      <c r="X66" s="11"/>
      <c r="Y66" s="11"/>
      <c r="Z66" s="11"/>
    </row>
    <row r="67" ht="58.5" customHeight="1">
      <c r="A67" s="42">
        <v>63.0</v>
      </c>
      <c r="B67" s="42" t="s">
        <v>805</v>
      </c>
      <c r="C67" s="38" t="s">
        <v>806</v>
      </c>
      <c r="D67" s="38" t="s">
        <v>807</v>
      </c>
      <c r="E67" s="38" t="s">
        <v>808</v>
      </c>
      <c r="F67" s="38" t="s">
        <v>809</v>
      </c>
      <c r="G67" s="38" t="s">
        <v>810</v>
      </c>
      <c r="H67" s="38" t="s">
        <v>811</v>
      </c>
      <c r="I67" s="38" t="s">
        <v>812</v>
      </c>
      <c r="J67" s="38" t="s">
        <v>813</v>
      </c>
      <c r="K67" s="27" t="s">
        <v>814</v>
      </c>
      <c r="L67" s="25" t="s">
        <v>98</v>
      </c>
      <c r="M67" s="25" t="s">
        <v>33</v>
      </c>
      <c r="N67" s="27" t="s">
        <v>98</v>
      </c>
      <c r="O67" s="27" t="s">
        <v>32</v>
      </c>
      <c r="P67" s="27" t="s">
        <v>31</v>
      </c>
      <c r="Q67" s="27" t="s">
        <v>98</v>
      </c>
      <c r="R67" s="11"/>
      <c r="S67" s="11"/>
      <c r="T67" s="11"/>
      <c r="U67" s="11"/>
      <c r="V67" s="11"/>
      <c r="W67" s="11"/>
      <c r="X67" s="11"/>
      <c r="Y67" s="11"/>
      <c r="Z67" s="11"/>
    </row>
    <row r="68" ht="61.5" customHeight="1">
      <c r="A68" s="41">
        <v>64.0</v>
      </c>
      <c r="B68" s="41" t="s">
        <v>817</v>
      </c>
      <c r="C68" s="36" t="s">
        <v>818</v>
      </c>
      <c r="D68" s="36" t="s">
        <v>820</v>
      </c>
      <c r="E68" s="36" t="s">
        <v>821</v>
      </c>
      <c r="F68" s="36" t="s">
        <v>823</v>
      </c>
      <c r="G68" s="36" t="s">
        <v>825</v>
      </c>
      <c r="H68" s="36" t="s">
        <v>827</v>
      </c>
      <c r="I68" s="36" t="s">
        <v>830</v>
      </c>
      <c r="J68" s="36" t="s">
        <v>831</v>
      </c>
      <c r="K68" s="29" t="s">
        <v>832</v>
      </c>
      <c r="L68" s="28" t="s">
        <v>30</v>
      </c>
      <c r="M68" s="28" t="s">
        <v>33</v>
      </c>
      <c r="N68" s="29" t="s">
        <v>98</v>
      </c>
      <c r="O68" s="29" t="s">
        <v>45</v>
      </c>
      <c r="P68" s="29" t="s">
        <v>31</v>
      </c>
      <c r="Q68" s="29" t="s">
        <v>98</v>
      </c>
      <c r="R68" s="11"/>
      <c r="S68" s="11"/>
      <c r="T68" s="11"/>
      <c r="U68" s="11"/>
      <c r="V68" s="11"/>
      <c r="W68" s="11"/>
      <c r="X68" s="11"/>
      <c r="Y68" s="11"/>
      <c r="Z68" s="11"/>
    </row>
    <row r="69" ht="60.75" customHeight="1">
      <c r="A69" s="42">
        <v>65.0</v>
      </c>
      <c r="B69" s="42" t="s">
        <v>833</v>
      </c>
      <c r="C69" s="38" t="s">
        <v>834</v>
      </c>
      <c r="D69" s="38" t="s">
        <v>835</v>
      </c>
      <c r="E69" s="38" t="s">
        <v>836</v>
      </c>
      <c r="F69" s="38" t="s">
        <v>837</v>
      </c>
      <c r="G69" s="38" t="s">
        <v>838</v>
      </c>
      <c r="H69" s="38" t="s">
        <v>839</v>
      </c>
      <c r="I69" s="38" t="s">
        <v>840</v>
      </c>
      <c r="J69" s="38" t="s">
        <v>841</v>
      </c>
      <c r="K69" s="27" t="s">
        <v>842</v>
      </c>
      <c r="L69" s="25" t="s">
        <v>98</v>
      </c>
      <c r="M69" s="25" t="s">
        <v>33</v>
      </c>
      <c r="N69" s="27" t="s">
        <v>98</v>
      </c>
      <c r="O69" s="27" t="s">
        <v>45</v>
      </c>
      <c r="P69" s="27" t="s">
        <v>31</v>
      </c>
      <c r="Q69" s="27" t="s">
        <v>98</v>
      </c>
      <c r="R69" s="11"/>
      <c r="S69" s="11"/>
      <c r="T69" s="11"/>
      <c r="U69" s="11"/>
      <c r="V69" s="11"/>
      <c r="W69" s="11"/>
      <c r="X69" s="11"/>
      <c r="Y69" s="11"/>
      <c r="Z69" s="11"/>
    </row>
    <row r="70" ht="74.25" customHeight="1">
      <c r="A70" s="41">
        <v>66.0</v>
      </c>
      <c r="B70" s="41" t="s">
        <v>843</v>
      </c>
      <c r="C70" s="36" t="s">
        <v>844</v>
      </c>
      <c r="D70" s="36" t="s">
        <v>845</v>
      </c>
      <c r="E70" s="36" t="s">
        <v>846</v>
      </c>
      <c r="F70" s="36" t="s">
        <v>847</v>
      </c>
      <c r="G70" s="36" t="s">
        <v>848</v>
      </c>
      <c r="H70" s="36" t="s">
        <v>849</v>
      </c>
      <c r="I70" s="36" t="s">
        <v>850</v>
      </c>
      <c r="J70" s="36" t="s">
        <v>851</v>
      </c>
      <c r="K70" s="29" t="s">
        <v>852</v>
      </c>
      <c r="L70" s="28" t="s">
        <v>30</v>
      </c>
      <c r="M70" s="28" t="s">
        <v>33</v>
      </c>
      <c r="N70" s="29" t="s">
        <v>30</v>
      </c>
      <c r="O70" s="29" t="s">
        <v>45</v>
      </c>
      <c r="P70" s="29" t="s">
        <v>31</v>
      </c>
      <c r="Q70" s="29" t="s">
        <v>30</v>
      </c>
      <c r="R70" s="11"/>
      <c r="S70" s="11"/>
      <c r="T70" s="11"/>
      <c r="U70" s="11"/>
      <c r="V70" s="11"/>
      <c r="W70" s="11"/>
      <c r="X70" s="11"/>
      <c r="Y70" s="11"/>
      <c r="Z70" s="11"/>
    </row>
    <row r="71" ht="69.0" customHeight="1">
      <c r="A71" s="42">
        <v>67.0</v>
      </c>
      <c r="B71" s="42" t="s">
        <v>853</v>
      </c>
      <c r="C71" s="38" t="s">
        <v>854</v>
      </c>
      <c r="D71" s="38" t="s">
        <v>855</v>
      </c>
      <c r="E71" s="38" t="s">
        <v>856</v>
      </c>
      <c r="F71" s="38" t="s">
        <v>857</v>
      </c>
      <c r="G71" s="38" t="s">
        <v>858</v>
      </c>
      <c r="H71" s="38" t="s">
        <v>859</v>
      </c>
      <c r="I71" s="38" t="s">
        <v>860</v>
      </c>
      <c r="J71" s="38" t="s">
        <v>861</v>
      </c>
      <c r="K71" s="27" t="s">
        <v>862</v>
      </c>
      <c r="L71" s="25" t="s">
        <v>98</v>
      </c>
      <c r="M71" s="25" t="s">
        <v>33</v>
      </c>
      <c r="N71" s="27" t="s">
        <v>98</v>
      </c>
      <c r="O71" s="27" t="s">
        <v>45</v>
      </c>
      <c r="P71" s="27" t="s">
        <v>31</v>
      </c>
      <c r="Q71" s="27" t="s">
        <v>98</v>
      </c>
      <c r="R71" s="11"/>
      <c r="S71" s="11"/>
      <c r="T71" s="11"/>
      <c r="U71" s="11"/>
      <c r="V71" s="11"/>
      <c r="W71" s="11"/>
      <c r="X71" s="11"/>
      <c r="Y71" s="11"/>
      <c r="Z71" s="11"/>
    </row>
    <row r="72" ht="67.5" customHeight="1">
      <c r="A72" s="41">
        <v>68.0</v>
      </c>
      <c r="B72" s="41" t="s">
        <v>865</v>
      </c>
      <c r="C72" s="36" t="s">
        <v>867</v>
      </c>
      <c r="D72" s="36" t="s">
        <v>868</v>
      </c>
      <c r="E72" s="36" t="s">
        <v>870</v>
      </c>
      <c r="F72" s="36" t="s">
        <v>872</v>
      </c>
      <c r="G72" s="36" t="s">
        <v>873</v>
      </c>
      <c r="H72" s="36" t="s">
        <v>875</v>
      </c>
      <c r="I72" s="36" t="s">
        <v>876</v>
      </c>
      <c r="J72" s="36" t="s">
        <v>878</v>
      </c>
      <c r="K72" s="29" t="s">
        <v>879</v>
      </c>
      <c r="L72" s="28" t="s">
        <v>98</v>
      </c>
      <c r="M72" s="28" t="s">
        <v>33</v>
      </c>
      <c r="N72" s="29" t="s">
        <v>98</v>
      </c>
      <c r="O72" s="29" t="s">
        <v>32</v>
      </c>
      <c r="P72" s="29" t="s">
        <v>31</v>
      </c>
      <c r="Q72" s="29" t="s">
        <v>30</v>
      </c>
      <c r="R72" s="11"/>
      <c r="S72" s="11"/>
      <c r="T72" s="11"/>
      <c r="U72" s="11"/>
      <c r="V72" s="11"/>
      <c r="W72" s="11"/>
      <c r="X72" s="11"/>
      <c r="Y72" s="11"/>
      <c r="Z72" s="11"/>
    </row>
    <row r="73" ht="15.75" customHeight="1">
      <c r="A73" s="25">
        <v>69.0</v>
      </c>
      <c r="B73" s="25" t="s">
        <v>881</v>
      </c>
      <c r="C73" s="27" t="s">
        <v>882</v>
      </c>
      <c r="D73" s="27" t="s">
        <v>207</v>
      </c>
      <c r="E73" s="27" t="s">
        <v>883</v>
      </c>
      <c r="F73" s="27" t="s">
        <v>884</v>
      </c>
      <c r="G73" s="27" t="s">
        <v>885</v>
      </c>
      <c r="H73" s="27" t="s">
        <v>886</v>
      </c>
      <c r="I73" s="27" t="s">
        <v>887</v>
      </c>
      <c r="J73" s="27" t="s">
        <v>888</v>
      </c>
      <c r="K73" s="27" t="s">
        <v>889</v>
      </c>
      <c r="L73" s="25" t="s">
        <v>30</v>
      </c>
      <c r="M73" s="25" t="s">
        <v>31</v>
      </c>
      <c r="N73" s="27" t="s">
        <v>30</v>
      </c>
      <c r="O73" s="27" t="s">
        <v>45</v>
      </c>
      <c r="P73" s="27" t="s">
        <v>32</v>
      </c>
      <c r="Q73" s="27" t="s">
        <v>67</v>
      </c>
      <c r="R73" s="11"/>
      <c r="S73" s="11"/>
      <c r="T73" s="11"/>
      <c r="U73" s="11"/>
      <c r="V73" s="11"/>
      <c r="W73" s="11"/>
      <c r="X73" s="11"/>
      <c r="Y73" s="11"/>
      <c r="Z73" s="11"/>
    </row>
    <row r="74" ht="15.75" customHeight="1">
      <c r="A74" s="28">
        <v>173.0</v>
      </c>
      <c r="B74" s="28" t="s">
        <v>890</v>
      </c>
      <c r="C74" s="29" t="s">
        <v>661</v>
      </c>
      <c r="D74" s="29" t="s">
        <v>364</v>
      </c>
      <c r="E74" s="29" t="s">
        <v>891</v>
      </c>
      <c r="F74" s="29" t="s">
        <v>892</v>
      </c>
      <c r="G74" s="29" t="s">
        <v>893</v>
      </c>
      <c r="H74" s="29" t="s">
        <v>894</v>
      </c>
      <c r="I74" s="29" t="s">
        <v>895</v>
      </c>
      <c r="J74" s="29" t="s">
        <v>896</v>
      </c>
      <c r="K74" s="29" t="s">
        <v>897</v>
      </c>
      <c r="L74" s="28" t="s">
        <v>67</v>
      </c>
      <c r="M74" s="28" t="s">
        <v>32</v>
      </c>
      <c r="N74" s="29" t="s">
        <v>67</v>
      </c>
      <c r="O74" s="29" t="s">
        <v>33</v>
      </c>
      <c r="P74" s="29" t="s">
        <v>45</v>
      </c>
      <c r="Q74" s="29" t="s">
        <v>56</v>
      </c>
      <c r="R74" s="11"/>
      <c r="S74" s="11"/>
      <c r="T74" s="11"/>
      <c r="U74" s="11"/>
      <c r="V74" s="11"/>
      <c r="W74" s="11"/>
      <c r="X74" s="11"/>
      <c r="Y74" s="11"/>
      <c r="Z74" s="11"/>
    </row>
    <row r="75" ht="15.75" customHeight="1">
      <c r="A75" s="25">
        <v>71.0</v>
      </c>
      <c r="B75" s="25" t="s">
        <v>898</v>
      </c>
      <c r="C75" s="27" t="s">
        <v>899</v>
      </c>
      <c r="D75" s="27" t="s">
        <v>207</v>
      </c>
      <c r="E75" s="27" t="s">
        <v>900</v>
      </c>
      <c r="F75" s="27" t="s">
        <v>901</v>
      </c>
      <c r="G75" s="27" t="s">
        <v>902</v>
      </c>
      <c r="H75" s="27" t="s">
        <v>903</v>
      </c>
      <c r="I75" s="27" t="s">
        <v>904</v>
      </c>
      <c r="J75" s="27" t="s">
        <v>906</v>
      </c>
      <c r="K75" s="27" t="s">
        <v>908</v>
      </c>
      <c r="L75" s="25" t="s">
        <v>30</v>
      </c>
      <c r="M75" s="25" t="s">
        <v>31</v>
      </c>
      <c r="N75" s="27" t="s">
        <v>30</v>
      </c>
      <c r="O75" s="27" t="s">
        <v>45</v>
      </c>
      <c r="P75" s="27" t="s">
        <v>33</v>
      </c>
      <c r="Q75" s="27" t="s">
        <v>30</v>
      </c>
      <c r="R75" s="11" t="s">
        <v>31</v>
      </c>
      <c r="S75" s="11"/>
      <c r="T75" s="11"/>
      <c r="U75" s="11"/>
      <c r="V75" s="11"/>
      <c r="W75" s="11"/>
      <c r="X75" s="11"/>
      <c r="Y75" s="11"/>
      <c r="Z75" s="11"/>
    </row>
    <row r="76" ht="15.75" customHeight="1">
      <c r="A76" s="25">
        <v>176.0</v>
      </c>
      <c r="B76" s="25" t="s">
        <v>913</v>
      </c>
      <c r="C76" s="27" t="s">
        <v>915</v>
      </c>
      <c r="D76" s="27" t="s">
        <v>364</v>
      </c>
      <c r="E76" s="27" t="s">
        <v>917</v>
      </c>
      <c r="F76" s="27" t="s">
        <v>918</v>
      </c>
      <c r="G76" s="27" t="s">
        <v>920</v>
      </c>
      <c r="H76" s="27" t="s">
        <v>921</v>
      </c>
      <c r="I76" s="27" t="s">
        <v>922</v>
      </c>
      <c r="J76" s="27" t="s">
        <v>923</v>
      </c>
      <c r="K76" s="27" t="s">
        <v>924</v>
      </c>
      <c r="L76" s="25" t="s">
        <v>67</v>
      </c>
      <c r="M76" s="25" t="s">
        <v>32</v>
      </c>
      <c r="N76" s="27" t="s">
        <v>44</v>
      </c>
      <c r="O76" s="27" t="s">
        <v>33</v>
      </c>
      <c r="P76" s="27" t="s">
        <v>45</v>
      </c>
      <c r="Q76" s="27" t="s">
        <v>56</v>
      </c>
      <c r="R76" s="11"/>
      <c r="S76" s="11"/>
      <c r="T76" s="11"/>
      <c r="U76" s="11"/>
      <c r="V76" s="11"/>
      <c r="W76" s="11"/>
      <c r="X76" s="11"/>
      <c r="Y76" s="11"/>
      <c r="Z76" s="11"/>
    </row>
    <row r="77" ht="95.25" customHeight="1">
      <c r="A77" s="25">
        <v>73.0</v>
      </c>
      <c r="B77" s="25" t="s">
        <v>926</v>
      </c>
      <c r="C77" s="27" t="s">
        <v>927</v>
      </c>
      <c r="D77" s="27" t="s">
        <v>207</v>
      </c>
      <c r="E77" s="27" t="s">
        <v>928</v>
      </c>
      <c r="F77" s="27" t="s">
        <v>929</v>
      </c>
      <c r="G77" s="27" t="s">
        <v>930</v>
      </c>
      <c r="H77" s="27" t="s">
        <v>932</v>
      </c>
      <c r="I77" s="27" t="s">
        <v>933</v>
      </c>
      <c r="J77" s="27" t="s">
        <v>935</v>
      </c>
      <c r="K77" s="27" t="s">
        <v>937</v>
      </c>
      <c r="L77" s="25" t="s">
        <v>56</v>
      </c>
      <c r="M77" s="25" t="s">
        <v>31</v>
      </c>
      <c r="N77" s="27" t="s">
        <v>67</v>
      </c>
      <c r="O77" s="27" t="s">
        <v>33</v>
      </c>
      <c r="P77" s="27" t="s">
        <v>32</v>
      </c>
      <c r="Q77" s="27" t="s">
        <v>67</v>
      </c>
      <c r="R77" s="11"/>
      <c r="S77" s="11"/>
      <c r="T77" s="11"/>
      <c r="U77" s="11"/>
      <c r="V77" s="11"/>
      <c r="W77" s="11"/>
      <c r="X77" s="11"/>
      <c r="Y77" s="11"/>
      <c r="Z77" s="11"/>
    </row>
    <row r="78" ht="15.75" customHeight="1">
      <c r="A78" s="25">
        <v>178.0</v>
      </c>
      <c r="B78" s="25" t="s">
        <v>942</v>
      </c>
      <c r="C78" s="27" t="s">
        <v>915</v>
      </c>
      <c r="D78" s="27" t="s">
        <v>364</v>
      </c>
      <c r="E78" s="27" t="s">
        <v>943</v>
      </c>
      <c r="F78" s="27" t="s">
        <v>944</v>
      </c>
      <c r="G78" s="27" t="s">
        <v>945</v>
      </c>
      <c r="H78" s="27" t="s">
        <v>946</v>
      </c>
      <c r="I78" s="27" t="s">
        <v>947</v>
      </c>
      <c r="J78" s="27" t="s">
        <v>948</v>
      </c>
      <c r="K78" s="27" t="s">
        <v>949</v>
      </c>
      <c r="L78" s="25" t="s">
        <v>44</v>
      </c>
      <c r="M78" s="25" t="s">
        <v>32</v>
      </c>
      <c r="N78" s="27" t="s">
        <v>56</v>
      </c>
      <c r="O78" s="27" t="s">
        <v>33</v>
      </c>
      <c r="P78" s="27" t="s">
        <v>45</v>
      </c>
      <c r="Q78" s="27" t="s">
        <v>56</v>
      </c>
      <c r="R78" s="11"/>
      <c r="S78" s="11"/>
      <c r="T78" s="11"/>
      <c r="U78" s="11"/>
      <c r="V78" s="11"/>
      <c r="W78" s="11"/>
      <c r="X78" s="11"/>
      <c r="Y78" s="11"/>
      <c r="Z78" s="11"/>
    </row>
    <row r="79" ht="15.75" customHeight="1">
      <c r="A79" s="25">
        <v>75.0</v>
      </c>
      <c r="B79" s="25" t="s">
        <v>950</v>
      </c>
      <c r="C79" s="27" t="s">
        <v>951</v>
      </c>
      <c r="D79" s="27" t="s">
        <v>207</v>
      </c>
      <c r="E79" s="27" t="s">
        <v>952</v>
      </c>
      <c r="F79" s="27" t="s">
        <v>953</v>
      </c>
      <c r="G79" s="27" t="s">
        <v>954</v>
      </c>
      <c r="H79" s="27" t="s">
        <v>955</v>
      </c>
      <c r="I79" s="27" t="s">
        <v>710</v>
      </c>
      <c r="J79" s="27" t="s">
        <v>956</v>
      </c>
      <c r="K79" s="27" t="s">
        <v>957</v>
      </c>
      <c r="L79" s="25" t="s">
        <v>56</v>
      </c>
      <c r="M79" s="25" t="s">
        <v>31</v>
      </c>
      <c r="N79" s="27" t="s">
        <v>56</v>
      </c>
      <c r="O79" s="27" t="s">
        <v>33</v>
      </c>
      <c r="P79" s="27" t="s">
        <v>32</v>
      </c>
      <c r="Q79" s="27" t="s">
        <v>56</v>
      </c>
      <c r="R79" s="11"/>
      <c r="S79" s="11"/>
      <c r="T79" s="11"/>
      <c r="U79" s="11"/>
      <c r="V79" s="11"/>
      <c r="W79" s="11"/>
      <c r="X79" s="11"/>
      <c r="Y79" s="11"/>
      <c r="Z79" s="11"/>
    </row>
    <row r="80" ht="15.75" customHeight="1">
      <c r="A80" s="28">
        <v>76.0</v>
      </c>
      <c r="B80" s="28" t="s">
        <v>958</v>
      </c>
      <c r="C80" s="29" t="s">
        <v>959</v>
      </c>
      <c r="D80" s="29" t="s">
        <v>207</v>
      </c>
      <c r="E80" s="29" t="s">
        <v>960</v>
      </c>
      <c r="F80" s="29" t="s">
        <v>961</v>
      </c>
      <c r="G80" s="29" t="s">
        <v>962</v>
      </c>
      <c r="H80" s="29" t="s">
        <v>963</v>
      </c>
      <c r="I80" s="29" t="s">
        <v>964</v>
      </c>
      <c r="J80" s="29" t="s">
        <v>965</v>
      </c>
      <c r="K80" s="29" t="s">
        <v>966</v>
      </c>
      <c r="L80" s="28" t="s">
        <v>56</v>
      </c>
      <c r="M80" s="28" t="s">
        <v>31</v>
      </c>
      <c r="N80" s="29" t="s">
        <v>56</v>
      </c>
      <c r="O80" s="29" t="s">
        <v>32</v>
      </c>
      <c r="P80" s="29" t="s">
        <v>33</v>
      </c>
      <c r="Q80" s="29" t="s">
        <v>56</v>
      </c>
      <c r="R80" s="11" t="s">
        <v>31</v>
      </c>
      <c r="S80" s="11"/>
      <c r="T80" s="11"/>
      <c r="U80" s="11"/>
      <c r="V80" s="11"/>
      <c r="W80" s="11"/>
      <c r="X80" s="11"/>
      <c r="Y80" s="11"/>
      <c r="Z80" s="11"/>
    </row>
    <row r="81" ht="15.75" customHeight="1">
      <c r="A81" s="28">
        <v>180.0</v>
      </c>
      <c r="B81" s="28" t="s">
        <v>967</v>
      </c>
      <c r="C81" s="29" t="s">
        <v>661</v>
      </c>
      <c r="D81" s="29" t="s">
        <v>364</v>
      </c>
      <c r="E81" s="29" t="s">
        <v>968</v>
      </c>
      <c r="F81" s="29" t="s">
        <v>969</v>
      </c>
      <c r="G81" s="29" t="s">
        <v>970</v>
      </c>
      <c r="H81" s="29" t="s">
        <v>971</v>
      </c>
      <c r="I81" s="29" t="s">
        <v>972</v>
      </c>
      <c r="J81" s="29" t="s">
        <v>973</v>
      </c>
      <c r="K81" s="29" t="s">
        <v>974</v>
      </c>
      <c r="L81" s="28" t="s">
        <v>98</v>
      </c>
      <c r="M81" s="28" t="s">
        <v>32</v>
      </c>
      <c r="N81" s="29" t="s">
        <v>98</v>
      </c>
      <c r="O81" s="29" t="s">
        <v>33</v>
      </c>
      <c r="P81" s="29" t="s">
        <v>45</v>
      </c>
      <c r="Q81" s="29" t="s">
        <v>98</v>
      </c>
      <c r="R81" s="11"/>
      <c r="S81" s="11"/>
      <c r="T81" s="11"/>
      <c r="U81" s="11"/>
      <c r="V81" s="11"/>
      <c r="W81" s="11"/>
      <c r="X81" s="11"/>
      <c r="Y81" s="11"/>
      <c r="Z81" s="11"/>
    </row>
    <row r="82" ht="15.75" customHeight="1">
      <c r="A82" s="28">
        <v>78.0</v>
      </c>
      <c r="B82" s="28" t="s">
        <v>975</v>
      </c>
      <c r="C82" s="29" t="s">
        <v>976</v>
      </c>
      <c r="D82" s="29" t="s">
        <v>207</v>
      </c>
      <c r="E82" s="29" t="s">
        <v>977</v>
      </c>
      <c r="F82" s="29" t="s">
        <v>978</v>
      </c>
      <c r="G82" s="29" t="s">
        <v>979</v>
      </c>
      <c r="H82" s="29" t="s">
        <v>980</v>
      </c>
      <c r="I82" s="29" t="s">
        <v>710</v>
      </c>
      <c r="J82" s="29" t="s">
        <v>981</v>
      </c>
      <c r="K82" s="29" t="s">
        <v>982</v>
      </c>
      <c r="L82" s="28" t="s">
        <v>56</v>
      </c>
      <c r="M82" s="28" t="s">
        <v>31</v>
      </c>
      <c r="N82" s="29" t="s">
        <v>67</v>
      </c>
      <c r="O82" s="29" t="s">
        <v>45</v>
      </c>
      <c r="P82" s="29" t="s">
        <v>33</v>
      </c>
      <c r="Q82" s="29" t="s">
        <v>67</v>
      </c>
      <c r="R82" s="11"/>
      <c r="S82" s="11"/>
      <c r="T82" s="11"/>
      <c r="U82" s="11"/>
      <c r="V82" s="11"/>
      <c r="W82" s="11"/>
      <c r="X82" s="11"/>
      <c r="Y82" s="11"/>
      <c r="Z82" s="11"/>
    </row>
    <row r="83" ht="15.75" customHeight="1">
      <c r="A83" s="25">
        <v>79.0</v>
      </c>
      <c r="B83" s="25" t="s">
        <v>983</v>
      </c>
      <c r="C83" s="27" t="s">
        <v>252</v>
      </c>
      <c r="D83" s="27" t="s">
        <v>207</v>
      </c>
      <c r="E83" s="27" t="s">
        <v>984</v>
      </c>
      <c r="F83" s="27" t="s">
        <v>985</v>
      </c>
      <c r="G83" s="27" t="s">
        <v>986</v>
      </c>
      <c r="H83" s="27" t="s">
        <v>987</v>
      </c>
      <c r="I83" s="27" t="s">
        <v>988</v>
      </c>
      <c r="J83" s="27" t="s">
        <v>989</v>
      </c>
      <c r="K83" s="27" t="s">
        <v>990</v>
      </c>
      <c r="L83" s="25" t="s">
        <v>44</v>
      </c>
      <c r="M83" s="25" t="s">
        <v>31</v>
      </c>
      <c r="N83" s="27" t="s">
        <v>44</v>
      </c>
      <c r="O83" s="27" t="s">
        <v>33</v>
      </c>
      <c r="P83" s="27" t="s">
        <v>32</v>
      </c>
      <c r="Q83" s="27" t="s">
        <v>67</v>
      </c>
      <c r="R83" s="11"/>
      <c r="S83" s="11"/>
      <c r="T83" s="11"/>
      <c r="U83" s="11"/>
      <c r="V83" s="11"/>
      <c r="W83" s="11"/>
      <c r="X83" s="11"/>
      <c r="Y83" s="11"/>
      <c r="Z83" s="11"/>
    </row>
    <row r="84" ht="15.75" customHeight="1">
      <c r="A84" s="28">
        <v>2.0</v>
      </c>
      <c r="B84" s="28" t="s">
        <v>99</v>
      </c>
      <c r="C84" s="28" t="s">
        <v>100</v>
      </c>
      <c r="D84" s="30" t="s">
        <v>48</v>
      </c>
      <c r="E84" s="29" t="s">
        <v>110</v>
      </c>
      <c r="F84" s="29" t="s">
        <v>111</v>
      </c>
      <c r="G84" s="29" t="s">
        <v>112</v>
      </c>
      <c r="H84" s="29" t="s">
        <v>113</v>
      </c>
      <c r="I84" s="30" t="s">
        <v>114</v>
      </c>
      <c r="J84" s="29" t="s">
        <v>115</v>
      </c>
      <c r="K84" s="29" t="s">
        <v>116</v>
      </c>
      <c r="L84" s="28" t="s">
        <v>98</v>
      </c>
      <c r="M84" s="28" t="s">
        <v>31</v>
      </c>
      <c r="N84" s="29" t="s">
        <v>30</v>
      </c>
      <c r="O84" s="29" t="s">
        <v>32</v>
      </c>
      <c r="P84" s="29" t="s">
        <v>45</v>
      </c>
      <c r="Q84" s="29" t="s">
        <v>98</v>
      </c>
      <c r="R84" s="11"/>
      <c r="S84" s="11"/>
      <c r="T84" s="11"/>
      <c r="U84" s="11"/>
      <c r="V84" s="11"/>
      <c r="W84" s="11"/>
      <c r="X84" s="11"/>
      <c r="Y84" s="11"/>
      <c r="Z84" s="11"/>
    </row>
    <row r="85" ht="15.75" customHeight="1">
      <c r="A85" s="25">
        <v>81.0</v>
      </c>
      <c r="B85" s="25" t="s">
        <v>1000</v>
      </c>
      <c r="C85" s="27" t="s">
        <v>1001</v>
      </c>
      <c r="D85" s="27" t="s">
        <v>128</v>
      </c>
      <c r="E85" s="27" t="s">
        <v>1002</v>
      </c>
      <c r="F85" s="27" t="s">
        <v>1004</v>
      </c>
      <c r="G85" s="27" t="s">
        <v>1005</v>
      </c>
      <c r="H85" s="27" t="s">
        <v>1006</v>
      </c>
      <c r="I85" s="27" t="s">
        <v>710</v>
      </c>
      <c r="J85" s="27" t="s">
        <v>1007</v>
      </c>
      <c r="K85" s="27" t="s">
        <v>1009</v>
      </c>
      <c r="L85" s="25" t="s">
        <v>67</v>
      </c>
      <c r="M85" s="25" t="s">
        <v>31</v>
      </c>
      <c r="N85" s="27" t="s">
        <v>67</v>
      </c>
      <c r="O85" s="27" t="s">
        <v>32</v>
      </c>
      <c r="P85" s="27" t="s">
        <v>33</v>
      </c>
      <c r="Q85" s="27" t="s">
        <v>67</v>
      </c>
      <c r="R85" s="11"/>
      <c r="S85" s="11"/>
      <c r="T85" s="11"/>
      <c r="U85" s="11"/>
      <c r="V85" s="11"/>
      <c r="W85" s="11"/>
      <c r="X85" s="11"/>
      <c r="Y85" s="11"/>
      <c r="Z85" s="11"/>
    </row>
    <row r="86" ht="15.75" customHeight="1">
      <c r="A86" s="28">
        <v>82.0</v>
      </c>
      <c r="B86" s="28" t="s">
        <v>1011</v>
      </c>
      <c r="C86" s="29" t="s">
        <v>1012</v>
      </c>
      <c r="D86" s="29" t="s">
        <v>128</v>
      </c>
      <c r="E86" s="29" t="s">
        <v>1013</v>
      </c>
      <c r="F86" s="29" t="s">
        <v>1014</v>
      </c>
      <c r="G86" s="29" t="s">
        <v>1016</v>
      </c>
      <c r="H86" s="29" t="s">
        <v>1017</v>
      </c>
      <c r="I86" s="29" t="s">
        <v>1018</v>
      </c>
      <c r="J86" s="29" t="s">
        <v>1020</v>
      </c>
      <c r="K86" s="29" t="s">
        <v>1021</v>
      </c>
      <c r="L86" s="28" t="s">
        <v>30</v>
      </c>
      <c r="M86" s="28" t="s">
        <v>31</v>
      </c>
      <c r="N86" s="29" t="s">
        <v>30</v>
      </c>
      <c r="O86" s="29" t="s">
        <v>33</v>
      </c>
      <c r="P86" s="29" t="s">
        <v>32</v>
      </c>
      <c r="Q86" s="29" t="s">
        <v>67</v>
      </c>
      <c r="R86" s="11"/>
      <c r="S86" s="11"/>
      <c r="T86" s="11"/>
      <c r="U86" s="11"/>
      <c r="V86" s="11"/>
      <c r="W86" s="11"/>
      <c r="X86" s="11"/>
      <c r="Y86" s="11"/>
      <c r="Z86" s="11"/>
    </row>
    <row r="87" ht="15.75" customHeight="1">
      <c r="A87" s="25">
        <v>83.0</v>
      </c>
      <c r="B87" s="25" t="s">
        <v>1022</v>
      </c>
      <c r="C87" s="27" t="s">
        <v>1023</v>
      </c>
      <c r="D87" s="27" t="s">
        <v>128</v>
      </c>
      <c r="E87" s="27" t="s">
        <v>1024</v>
      </c>
      <c r="F87" s="27" t="s">
        <v>1025</v>
      </c>
      <c r="G87" s="27" t="s">
        <v>1027</v>
      </c>
      <c r="H87" s="27" t="s">
        <v>1029</v>
      </c>
      <c r="I87" s="27" t="s">
        <v>1030</v>
      </c>
      <c r="J87" s="27" t="s">
        <v>1031</v>
      </c>
      <c r="K87" s="27" t="s">
        <v>1032</v>
      </c>
      <c r="L87" s="25" t="s">
        <v>30</v>
      </c>
      <c r="M87" s="25" t="s">
        <v>31</v>
      </c>
      <c r="N87" s="27" t="s">
        <v>30</v>
      </c>
      <c r="O87" s="27" t="s">
        <v>45</v>
      </c>
      <c r="P87" s="27" t="s">
        <v>33</v>
      </c>
      <c r="Q87" s="27" t="s">
        <v>30</v>
      </c>
      <c r="R87" s="11" t="s">
        <v>31</v>
      </c>
      <c r="S87" s="11"/>
      <c r="T87" s="11"/>
      <c r="U87" s="11"/>
      <c r="V87" s="11"/>
      <c r="W87" s="11"/>
      <c r="X87" s="11"/>
      <c r="Y87" s="11"/>
      <c r="Z87" s="11"/>
    </row>
    <row r="88" ht="15.75" customHeight="1">
      <c r="A88" s="25">
        <v>7.0</v>
      </c>
      <c r="B88" s="25" t="s">
        <v>189</v>
      </c>
      <c r="C88" s="26" t="s">
        <v>190</v>
      </c>
      <c r="D88" s="26" t="s">
        <v>191</v>
      </c>
      <c r="E88" s="26" t="s">
        <v>192</v>
      </c>
      <c r="F88" s="26" t="s">
        <v>197</v>
      </c>
      <c r="G88" s="25" t="s">
        <v>198</v>
      </c>
      <c r="H88" s="26" t="s">
        <v>200</v>
      </c>
      <c r="I88" s="26" t="s">
        <v>201</v>
      </c>
      <c r="J88" s="27" t="s">
        <v>203</v>
      </c>
      <c r="K88" s="26" t="s">
        <v>204</v>
      </c>
      <c r="L88" s="25" t="s">
        <v>30</v>
      </c>
      <c r="M88" s="25" t="s">
        <v>31</v>
      </c>
      <c r="N88" s="27" t="s">
        <v>30</v>
      </c>
      <c r="O88" s="27" t="s">
        <v>32</v>
      </c>
      <c r="P88" s="27" t="s">
        <v>45</v>
      </c>
      <c r="Q88" s="27" t="s">
        <v>30</v>
      </c>
      <c r="R88" s="11"/>
      <c r="S88" s="11"/>
      <c r="T88" s="11"/>
      <c r="U88" s="11"/>
      <c r="V88" s="11"/>
      <c r="W88" s="11"/>
      <c r="X88" s="11"/>
      <c r="Y88" s="11"/>
      <c r="Z88" s="11"/>
    </row>
    <row r="89" ht="15.75" customHeight="1">
      <c r="A89" s="25">
        <v>85.0</v>
      </c>
      <c r="B89" s="25" t="s">
        <v>1039</v>
      </c>
      <c r="C89" s="27" t="s">
        <v>1040</v>
      </c>
      <c r="D89" s="27" t="s">
        <v>128</v>
      </c>
      <c r="E89" s="27" t="s">
        <v>1041</v>
      </c>
      <c r="F89" s="27" t="s">
        <v>1042</v>
      </c>
      <c r="G89" s="27" t="s">
        <v>1043</v>
      </c>
      <c r="H89" s="27" t="s">
        <v>1044</v>
      </c>
      <c r="I89" s="27" t="s">
        <v>1045</v>
      </c>
      <c r="J89" s="27" t="s">
        <v>1046</v>
      </c>
      <c r="K89" s="27" t="s">
        <v>1047</v>
      </c>
      <c r="L89" s="25" t="s">
        <v>30</v>
      </c>
      <c r="M89" s="25" t="s">
        <v>31</v>
      </c>
      <c r="N89" s="27" t="s">
        <v>30</v>
      </c>
      <c r="O89" s="27" t="s">
        <v>45</v>
      </c>
      <c r="P89" s="27" t="s">
        <v>32</v>
      </c>
      <c r="Q89" s="27" t="s">
        <v>30</v>
      </c>
      <c r="R89" s="11"/>
      <c r="S89" s="11"/>
      <c r="T89" s="11"/>
      <c r="U89" s="11"/>
      <c r="V89" s="11"/>
      <c r="W89" s="11"/>
      <c r="X89" s="11"/>
      <c r="Y89" s="11"/>
      <c r="Z89" s="11"/>
    </row>
    <row r="90" ht="15.75" customHeight="1">
      <c r="A90" s="28">
        <v>86.0</v>
      </c>
      <c r="B90" s="28" t="s">
        <v>1048</v>
      </c>
      <c r="C90" s="29" t="s">
        <v>1049</v>
      </c>
      <c r="D90" s="29" t="s">
        <v>1050</v>
      </c>
      <c r="E90" s="29" t="s">
        <v>1051</v>
      </c>
      <c r="F90" s="29" t="s">
        <v>1052</v>
      </c>
      <c r="G90" s="29" t="s">
        <v>1053</v>
      </c>
      <c r="H90" s="29" t="s">
        <v>1054</v>
      </c>
      <c r="I90" s="29" t="s">
        <v>1055</v>
      </c>
      <c r="J90" s="29" t="s">
        <v>1056</v>
      </c>
      <c r="K90" s="29" t="s">
        <v>1057</v>
      </c>
      <c r="L90" s="28" t="s">
        <v>30</v>
      </c>
      <c r="M90" s="49" t="s">
        <v>31</v>
      </c>
      <c r="N90" s="29" t="s">
        <v>30</v>
      </c>
      <c r="O90" s="29" t="s">
        <v>32</v>
      </c>
      <c r="P90" s="29" t="s">
        <v>33</v>
      </c>
      <c r="Q90" s="29" t="s">
        <v>30</v>
      </c>
      <c r="R90" s="11"/>
      <c r="S90" s="11"/>
      <c r="T90" s="11"/>
      <c r="U90" s="11"/>
      <c r="V90" s="11"/>
      <c r="W90" s="11"/>
      <c r="X90" s="11"/>
      <c r="Y90" s="11"/>
      <c r="Z90" s="11"/>
    </row>
    <row r="91" ht="15.75" customHeight="1">
      <c r="A91" s="25">
        <v>87.0</v>
      </c>
      <c r="B91" s="25" t="s">
        <v>1062</v>
      </c>
      <c r="C91" s="27" t="s">
        <v>1063</v>
      </c>
      <c r="D91" s="27" t="s">
        <v>306</v>
      </c>
      <c r="E91" s="27" t="s">
        <v>1064</v>
      </c>
      <c r="F91" s="27" t="s">
        <v>1065</v>
      </c>
      <c r="G91" s="27" t="s">
        <v>1066</v>
      </c>
      <c r="H91" s="27" t="s">
        <v>1067</v>
      </c>
      <c r="I91" s="27" t="s">
        <v>1068</v>
      </c>
      <c r="J91" s="27" t="s">
        <v>1069</v>
      </c>
      <c r="K91" s="27" t="s">
        <v>1070</v>
      </c>
      <c r="L91" s="25" t="s">
        <v>56</v>
      </c>
      <c r="M91" s="25" t="s">
        <v>31</v>
      </c>
      <c r="N91" s="27" t="s">
        <v>56</v>
      </c>
      <c r="O91" s="27" t="s">
        <v>32</v>
      </c>
      <c r="P91" s="27" t="s">
        <v>33</v>
      </c>
      <c r="Q91" s="27" t="s">
        <v>56</v>
      </c>
      <c r="R91" s="11" t="s">
        <v>31</v>
      </c>
      <c r="S91" s="11"/>
      <c r="T91" s="11"/>
      <c r="U91" s="11"/>
      <c r="V91" s="11"/>
      <c r="W91" s="11"/>
      <c r="X91" s="11"/>
      <c r="Y91" s="11"/>
      <c r="Z91" s="11"/>
    </row>
    <row r="92" ht="15.75" customHeight="1">
      <c r="A92" s="28">
        <v>12.0</v>
      </c>
      <c r="B92" s="28" t="s">
        <v>279</v>
      </c>
      <c r="C92" s="30" t="s">
        <v>282</v>
      </c>
      <c r="D92" s="30" t="s">
        <v>191</v>
      </c>
      <c r="E92" s="30" t="s">
        <v>285</v>
      </c>
      <c r="F92" s="30" t="s">
        <v>288</v>
      </c>
      <c r="G92" s="30" t="s">
        <v>291</v>
      </c>
      <c r="H92" s="30" t="s">
        <v>292</v>
      </c>
      <c r="I92" s="30" t="s">
        <v>293</v>
      </c>
      <c r="J92" s="30" t="s">
        <v>294</v>
      </c>
      <c r="K92" s="30" t="s">
        <v>295</v>
      </c>
      <c r="L92" s="28" t="s">
        <v>44</v>
      </c>
      <c r="M92" s="28" t="s">
        <v>31</v>
      </c>
      <c r="N92" s="29" t="s">
        <v>44</v>
      </c>
      <c r="O92" s="29" t="s">
        <v>32</v>
      </c>
      <c r="P92" s="29" t="s">
        <v>45</v>
      </c>
      <c r="Q92" s="29" t="s">
        <v>44</v>
      </c>
      <c r="R92" s="11"/>
      <c r="S92" s="11"/>
      <c r="T92" s="11"/>
      <c r="U92" s="11"/>
      <c r="V92" s="11"/>
      <c r="W92" s="11"/>
      <c r="X92" s="11"/>
      <c r="Y92" s="11"/>
      <c r="Z92" s="11"/>
    </row>
    <row r="93" ht="15.75" customHeight="1">
      <c r="A93" s="28">
        <v>89.0</v>
      </c>
      <c r="B93" s="28" t="s">
        <v>1085</v>
      </c>
      <c r="C93" s="28" t="s">
        <v>1086</v>
      </c>
      <c r="D93" s="28" t="s">
        <v>306</v>
      </c>
      <c r="E93" s="28" t="s">
        <v>1087</v>
      </c>
      <c r="F93" s="28" t="s">
        <v>1088</v>
      </c>
      <c r="G93" s="28" t="s">
        <v>1089</v>
      </c>
      <c r="H93" s="28" t="s">
        <v>1090</v>
      </c>
      <c r="I93" s="28" t="s">
        <v>1092</v>
      </c>
      <c r="J93" s="28" t="s">
        <v>1094</v>
      </c>
      <c r="K93" s="28" t="s">
        <v>1095</v>
      </c>
      <c r="L93" s="28" t="s">
        <v>44</v>
      </c>
      <c r="M93" s="28" t="s">
        <v>31</v>
      </c>
      <c r="N93" s="29" t="s">
        <v>44</v>
      </c>
      <c r="O93" s="29" t="s">
        <v>33</v>
      </c>
      <c r="P93" s="29" t="s">
        <v>32</v>
      </c>
      <c r="Q93" s="29" t="s">
        <v>44</v>
      </c>
      <c r="R93" s="11"/>
      <c r="S93" s="11"/>
      <c r="T93" s="11"/>
      <c r="U93" s="11"/>
      <c r="V93" s="11"/>
      <c r="W93" s="11"/>
      <c r="X93" s="11"/>
      <c r="Y93" s="11"/>
      <c r="Z93" s="11"/>
    </row>
    <row r="94" ht="15.75" customHeight="1">
      <c r="A94" s="25">
        <v>90.0</v>
      </c>
      <c r="B94" s="25" t="s">
        <v>1102</v>
      </c>
      <c r="C94" s="27" t="s">
        <v>1103</v>
      </c>
      <c r="D94" s="27" t="s">
        <v>306</v>
      </c>
      <c r="E94" s="27" t="s">
        <v>1104</v>
      </c>
      <c r="F94" s="27" t="s">
        <v>1105</v>
      </c>
      <c r="G94" s="27" t="s">
        <v>1106</v>
      </c>
      <c r="H94" s="27" t="s">
        <v>1107</v>
      </c>
      <c r="I94" s="27" t="s">
        <v>1108</v>
      </c>
      <c r="J94" s="27" t="s">
        <v>1109</v>
      </c>
      <c r="K94" s="27" t="s">
        <v>1110</v>
      </c>
      <c r="L94" s="25" t="s">
        <v>56</v>
      </c>
      <c r="M94" s="25" t="s">
        <v>31</v>
      </c>
      <c r="N94" s="27" t="s">
        <v>56</v>
      </c>
      <c r="O94" s="27" t="s">
        <v>32</v>
      </c>
      <c r="P94" s="27" t="s">
        <v>33</v>
      </c>
      <c r="Q94" s="27" t="s">
        <v>56</v>
      </c>
      <c r="R94" s="11" t="s">
        <v>31</v>
      </c>
      <c r="S94" s="11"/>
      <c r="T94" s="11"/>
      <c r="U94" s="11"/>
      <c r="V94" s="11"/>
      <c r="W94" s="11"/>
      <c r="X94" s="11"/>
      <c r="Y94" s="11"/>
      <c r="Z94" s="11"/>
    </row>
    <row r="95" ht="15.75" customHeight="1">
      <c r="A95" s="25">
        <v>13.0</v>
      </c>
      <c r="B95" s="25" t="s">
        <v>305</v>
      </c>
      <c r="C95" s="26" t="s">
        <v>308</v>
      </c>
      <c r="D95" s="26" t="s">
        <v>128</v>
      </c>
      <c r="E95" s="27" t="s">
        <v>312</v>
      </c>
      <c r="F95" s="27" t="s">
        <v>315</v>
      </c>
      <c r="G95" s="27" t="s">
        <v>317</v>
      </c>
      <c r="H95" s="27" t="s">
        <v>318</v>
      </c>
      <c r="I95" s="27" t="s">
        <v>319</v>
      </c>
      <c r="J95" s="26" t="s">
        <v>320</v>
      </c>
      <c r="K95" s="26" t="s">
        <v>295</v>
      </c>
      <c r="L95" s="25" t="s">
        <v>67</v>
      </c>
      <c r="M95" s="25" t="s">
        <v>31</v>
      </c>
      <c r="N95" s="27" t="s">
        <v>67</v>
      </c>
      <c r="O95" s="27" t="s">
        <v>32</v>
      </c>
      <c r="P95" s="27" t="s">
        <v>45</v>
      </c>
      <c r="Q95" s="27" t="s">
        <v>67</v>
      </c>
      <c r="R95" s="11"/>
      <c r="S95" s="11"/>
      <c r="T95" s="11"/>
      <c r="U95" s="11"/>
      <c r="V95" s="11"/>
      <c r="W95" s="11"/>
      <c r="X95" s="11"/>
      <c r="Y95" s="11"/>
      <c r="Z95" s="11"/>
    </row>
    <row r="96" ht="15.75" customHeight="1">
      <c r="A96" s="25">
        <v>92.0</v>
      </c>
      <c r="B96" s="25" t="s">
        <v>1114</v>
      </c>
      <c r="C96" s="27" t="s">
        <v>1115</v>
      </c>
      <c r="D96" s="27" t="s">
        <v>306</v>
      </c>
      <c r="E96" s="27" t="s">
        <v>1116</v>
      </c>
      <c r="F96" s="27" t="s">
        <v>1117</v>
      </c>
      <c r="G96" s="27" t="s">
        <v>1118</v>
      </c>
      <c r="H96" s="27" t="s">
        <v>1119</v>
      </c>
      <c r="I96" s="27" t="s">
        <v>1120</v>
      </c>
      <c r="J96" s="27" t="s">
        <v>1123</v>
      </c>
      <c r="K96" s="27" t="s">
        <v>1124</v>
      </c>
      <c r="L96" s="25" t="s">
        <v>56</v>
      </c>
      <c r="M96" s="25" t="s">
        <v>31</v>
      </c>
      <c r="N96" s="27" t="s">
        <v>67</v>
      </c>
      <c r="O96" s="27" t="s">
        <v>32</v>
      </c>
      <c r="P96" s="27" t="s">
        <v>33</v>
      </c>
      <c r="Q96" s="27" t="s">
        <v>67</v>
      </c>
      <c r="R96" s="11"/>
      <c r="S96" s="11"/>
      <c r="T96" s="11"/>
      <c r="U96" s="11"/>
      <c r="V96" s="11"/>
      <c r="W96" s="11"/>
      <c r="X96" s="11"/>
      <c r="Y96" s="11"/>
      <c r="Z96" s="11"/>
    </row>
    <row r="97" ht="15.75" customHeight="1">
      <c r="A97" s="25">
        <v>17.0</v>
      </c>
      <c r="B97" s="25" t="s">
        <v>387</v>
      </c>
      <c r="C97" s="26" t="s">
        <v>388</v>
      </c>
      <c r="D97" s="26" t="s">
        <v>176</v>
      </c>
      <c r="E97" s="27" t="s">
        <v>391</v>
      </c>
      <c r="F97" s="27" t="s">
        <v>394</v>
      </c>
      <c r="G97" s="27" t="s">
        <v>397</v>
      </c>
      <c r="H97" s="27" t="s">
        <v>399</v>
      </c>
      <c r="I97" s="27" t="s">
        <v>402</v>
      </c>
      <c r="J97" s="27" t="s">
        <v>403</v>
      </c>
      <c r="K97" s="27" t="s">
        <v>404</v>
      </c>
      <c r="L97" s="25" t="s">
        <v>56</v>
      </c>
      <c r="M97" s="25" t="s">
        <v>31</v>
      </c>
      <c r="N97" s="27" t="s">
        <v>67</v>
      </c>
      <c r="O97" s="27" t="s">
        <v>32</v>
      </c>
      <c r="P97" s="27" t="s">
        <v>45</v>
      </c>
      <c r="Q97" s="27" t="s">
        <v>56</v>
      </c>
      <c r="R97" s="11"/>
      <c r="S97" s="11"/>
      <c r="T97" s="11"/>
      <c r="U97" s="11"/>
      <c r="V97" s="11"/>
      <c r="W97" s="11"/>
      <c r="X97" s="11"/>
      <c r="Y97" s="11"/>
      <c r="Z97" s="11"/>
    </row>
    <row r="98" ht="15.75" customHeight="1">
      <c r="A98" s="25">
        <v>94.0</v>
      </c>
      <c r="B98" s="25" t="s">
        <v>1127</v>
      </c>
      <c r="C98" s="27" t="s">
        <v>1128</v>
      </c>
      <c r="D98" s="27" t="s">
        <v>1129</v>
      </c>
      <c r="E98" s="27" t="s">
        <v>1130</v>
      </c>
      <c r="F98" s="27" t="s">
        <v>1131</v>
      </c>
      <c r="G98" s="27" t="s">
        <v>1132</v>
      </c>
      <c r="H98" s="27" t="s">
        <v>1133</v>
      </c>
      <c r="I98" s="27" t="s">
        <v>1134</v>
      </c>
      <c r="J98" s="27" t="s">
        <v>1135</v>
      </c>
      <c r="K98" s="27" t="s">
        <v>1136</v>
      </c>
      <c r="L98" s="25" t="s">
        <v>44</v>
      </c>
      <c r="M98" s="25" t="s">
        <v>31</v>
      </c>
      <c r="N98" s="27" t="s">
        <v>44</v>
      </c>
      <c r="O98" s="27" t="s">
        <v>33</v>
      </c>
      <c r="P98" s="27" t="s">
        <v>32</v>
      </c>
      <c r="Q98" s="27" t="s">
        <v>67</v>
      </c>
      <c r="R98" s="11"/>
      <c r="S98" s="11"/>
      <c r="T98" s="11"/>
      <c r="U98" s="11"/>
      <c r="V98" s="11"/>
      <c r="W98" s="11"/>
      <c r="X98" s="11"/>
      <c r="Y98" s="11"/>
      <c r="Z98" s="11"/>
    </row>
    <row r="99" ht="15.75" customHeight="1">
      <c r="A99" s="28">
        <v>95.0</v>
      </c>
      <c r="B99" s="28" t="s">
        <v>1145</v>
      </c>
      <c r="C99" s="29" t="s">
        <v>1146</v>
      </c>
      <c r="D99" s="29" t="s">
        <v>1148</v>
      </c>
      <c r="E99" s="29" t="s">
        <v>1149</v>
      </c>
      <c r="F99" s="29" t="s">
        <v>1150</v>
      </c>
      <c r="G99" s="29" t="s">
        <v>1151</v>
      </c>
      <c r="H99" s="29" t="s">
        <v>1152</v>
      </c>
      <c r="I99" s="29" t="s">
        <v>1154</v>
      </c>
      <c r="J99" s="29" t="s">
        <v>1155</v>
      </c>
      <c r="K99" s="29" t="s">
        <v>1157</v>
      </c>
      <c r="L99" s="28" t="s">
        <v>56</v>
      </c>
      <c r="M99" s="28" t="s">
        <v>31</v>
      </c>
      <c r="N99" s="29" t="s">
        <v>67</v>
      </c>
      <c r="O99" s="29" t="s">
        <v>32</v>
      </c>
      <c r="P99" s="29" t="s">
        <v>33</v>
      </c>
      <c r="Q99" s="29" t="s">
        <v>67</v>
      </c>
      <c r="R99" s="11"/>
      <c r="S99" s="11"/>
      <c r="T99" s="11"/>
      <c r="U99" s="11"/>
      <c r="V99" s="11"/>
      <c r="W99" s="11"/>
      <c r="X99" s="11"/>
      <c r="Y99" s="11"/>
      <c r="Z99" s="11"/>
    </row>
    <row r="100" ht="15.75" customHeight="1">
      <c r="A100" s="25">
        <v>96.0</v>
      </c>
      <c r="B100" s="25" t="s">
        <v>1158</v>
      </c>
      <c r="C100" s="27" t="s">
        <v>1159</v>
      </c>
      <c r="D100" s="27" t="s">
        <v>1148</v>
      </c>
      <c r="E100" s="27" t="s">
        <v>1160</v>
      </c>
      <c r="F100" s="27" t="s">
        <v>1161</v>
      </c>
      <c r="G100" s="27" t="s">
        <v>1162</v>
      </c>
      <c r="H100" s="27" t="s">
        <v>1163</v>
      </c>
      <c r="I100" s="27" t="s">
        <v>1164</v>
      </c>
      <c r="J100" s="27" t="s">
        <v>1165</v>
      </c>
      <c r="K100" s="27" t="s">
        <v>1166</v>
      </c>
      <c r="L100" s="25" t="s">
        <v>56</v>
      </c>
      <c r="M100" s="25" t="s">
        <v>31</v>
      </c>
      <c r="N100" s="27" t="s">
        <v>67</v>
      </c>
      <c r="O100" s="27" t="s">
        <v>33</v>
      </c>
      <c r="P100" s="27" t="s">
        <v>32</v>
      </c>
      <c r="Q100" s="27" t="s">
        <v>67</v>
      </c>
      <c r="R100" s="11"/>
      <c r="S100" s="11"/>
      <c r="T100" s="11"/>
      <c r="U100" s="11"/>
      <c r="V100" s="11"/>
      <c r="W100" s="11"/>
      <c r="X100" s="11"/>
      <c r="Y100" s="11"/>
      <c r="Z100" s="11"/>
    </row>
    <row r="101" ht="15.75" customHeight="1">
      <c r="A101" s="28">
        <v>22.0</v>
      </c>
      <c r="B101" s="28" t="s">
        <v>484</v>
      </c>
      <c r="C101" s="30" t="s">
        <v>485</v>
      </c>
      <c r="D101" s="30" t="s">
        <v>262</v>
      </c>
      <c r="E101" s="30" t="s">
        <v>486</v>
      </c>
      <c r="F101" s="30" t="s">
        <v>487</v>
      </c>
      <c r="G101" s="30" t="s">
        <v>488</v>
      </c>
      <c r="H101" s="30" t="s">
        <v>489</v>
      </c>
      <c r="I101" s="30" t="s">
        <v>491</v>
      </c>
      <c r="J101" s="29" t="s">
        <v>493</v>
      </c>
      <c r="K101" s="29" t="s">
        <v>496</v>
      </c>
      <c r="L101" s="28" t="s">
        <v>30</v>
      </c>
      <c r="M101" s="28" t="s">
        <v>33</v>
      </c>
      <c r="N101" s="29" t="s">
        <v>44</v>
      </c>
      <c r="O101" s="29" t="s">
        <v>32</v>
      </c>
      <c r="P101" s="29" t="s">
        <v>45</v>
      </c>
      <c r="Q101" s="29" t="s">
        <v>44</v>
      </c>
      <c r="R101" s="11"/>
      <c r="S101" s="11"/>
      <c r="T101" s="11"/>
      <c r="U101" s="11"/>
      <c r="V101" s="11"/>
      <c r="W101" s="11"/>
      <c r="X101" s="11"/>
      <c r="Y101" s="11"/>
      <c r="Z101" s="11"/>
    </row>
    <row r="102" ht="15.75" customHeight="1">
      <c r="A102" s="25">
        <v>98.0</v>
      </c>
      <c r="B102" s="25" t="s">
        <v>1169</v>
      </c>
      <c r="C102" s="27" t="s">
        <v>1170</v>
      </c>
      <c r="D102" s="27" t="s">
        <v>1171</v>
      </c>
      <c r="E102" s="27" t="s">
        <v>1172</v>
      </c>
      <c r="F102" s="27" t="s">
        <v>1175</v>
      </c>
      <c r="G102" s="27" t="s">
        <v>1176</v>
      </c>
      <c r="H102" s="27" t="s">
        <v>1177</v>
      </c>
      <c r="I102" s="27" t="s">
        <v>1178</v>
      </c>
      <c r="J102" s="27" t="s">
        <v>1179</v>
      </c>
      <c r="K102" s="27" t="s">
        <v>1180</v>
      </c>
      <c r="L102" s="25" t="s">
        <v>56</v>
      </c>
      <c r="M102" s="25" t="s">
        <v>31</v>
      </c>
      <c r="N102" s="27" t="s">
        <v>67</v>
      </c>
      <c r="O102" s="27" t="s">
        <v>45</v>
      </c>
      <c r="P102" s="27" t="s">
        <v>33</v>
      </c>
      <c r="Q102" s="27" t="s">
        <v>67</v>
      </c>
      <c r="R102" s="11"/>
      <c r="S102" s="11"/>
      <c r="T102" s="11"/>
      <c r="U102" s="11"/>
      <c r="V102" s="11"/>
      <c r="W102" s="11"/>
      <c r="X102" s="11"/>
      <c r="Y102" s="11"/>
      <c r="Z102" s="11"/>
    </row>
    <row r="103" ht="15.75" customHeight="1">
      <c r="A103" s="25">
        <v>31.0</v>
      </c>
      <c r="B103" s="25" t="s">
        <v>863</v>
      </c>
      <c r="C103" s="27" t="s">
        <v>864</v>
      </c>
      <c r="D103" s="27" t="s">
        <v>36</v>
      </c>
      <c r="E103" s="27" t="s">
        <v>866</v>
      </c>
      <c r="F103" s="27" t="s">
        <v>869</v>
      </c>
      <c r="G103" s="27" t="s">
        <v>871</v>
      </c>
      <c r="H103" s="27" t="s">
        <v>874</v>
      </c>
      <c r="I103" s="27" t="s">
        <v>41</v>
      </c>
      <c r="J103" s="27" t="s">
        <v>877</v>
      </c>
      <c r="K103" s="27" t="s">
        <v>880</v>
      </c>
      <c r="L103" s="25" t="s">
        <v>67</v>
      </c>
      <c r="M103" s="25" t="s">
        <v>31</v>
      </c>
      <c r="N103" s="27" t="s">
        <v>67</v>
      </c>
      <c r="O103" s="27" t="s">
        <v>32</v>
      </c>
      <c r="P103" s="27" t="s">
        <v>45</v>
      </c>
      <c r="Q103" s="27" t="s">
        <v>67</v>
      </c>
      <c r="R103" s="11"/>
      <c r="S103" s="11"/>
      <c r="T103" s="11"/>
      <c r="U103" s="11"/>
      <c r="V103" s="11"/>
      <c r="W103" s="11"/>
      <c r="X103" s="11"/>
      <c r="Y103" s="11"/>
      <c r="Z103" s="11"/>
    </row>
    <row r="104" ht="15.75" customHeight="1">
      <c r="A104" s="25">
        <v>100.0</v>
      </c>
      <c r="B104" s="25" t="s">
        <v>1183</v>
      </c>
      <c r="C104" s="27" t="s">
        <v>1184</v>
      </c>
      <c r="D104" s="27" t="s">
        <v>1185</v>
      </c>
      <c r="E104" s="27" t="s">
        <v>1186</v>
      </c>
      <c r="F104" s="27" t="s">
        <v>1187</v>
      </c>
      <c r="G104" s="27" t="s">
        <v>1188</v>
      </c>
      <c r="H104" s="27" t="s">
        <v>1189</v>
      </c>
      <c r="I104" s="27" t="s">
        <v>1190</v>
      </c>
      <c r="J104" s="27" t="s">
        <v>1193</v>
      </c>
      <c r="K104" s="27" t="s">
        <v>1194</v>
      </c>
      <c r="L104" s="25" t="s">
        <v>30</v>
      </c>
      <c r="M104" s="25" t="s">
        <v>31</v>
      </c>
      <c r="N104" s="27" t="s">
        <v>30</v>
      </c>
      <c r="O104" s="27" t="s">
        <v>33</v>
      </c>
      <c r="P104" s="27" t="s">
        <v>32</v>
      </c>
      <c r="Q104" s="27" t="s">
        <v>30</v>
      </c>
      <c r="R104" s="11"/>
      <c r="S104" s="11"/>
      <c r="T104" s="11"/>
      <c r="U104" s="11"/>
      <c r="V104" s="11"/>
      <c r="W104" s="11"/>
      <c r="X104" s="11"/>
      <c r="Y104" s="11"/>
      <c r="Z104" s="11"/>
    </row>
    <row r="105" ht="15.75" customHeight="1">
      <c r="A105" s="28">
        <v>101.0</v>
      </c>
      <c r="B105" s="28" t="s">
        <v>1197</v>
      </c>
      <c r="C105" s="29" t="s">
        <v>1198</v>
      </c>
      <c r="D105" s="29" t="s">
        <v>1185</v>
      </c>
      <c r="E105" s="29" t="s">
        <v>1199</v>
      </c>
      <c r="F105" s="29" t="s">
        <v>1200</v>
      </c>
      <c r="G105" s="29" t="s">
        <v>1201</v>
      </c>
      <c r="H105" s="29" t="s">
        <v>1202</v>
      </c>
      <c r="I105" s="29" t="s">
        <v>1203</v>
      </c>
      <c r="J105" s="29" t="s">
        <v>1204</v>
      </c>
      <c r="K105" s="29" t="s">
        <v>1205</v>
      </c>
      <c r="L105" s="28" t="s">
        <v>56</v>
      </c>
      <c r="M105" s="28" t="s">
        <v>31</v>
      </c>
      <c r="N105" s="29" t="s">
        <v>56</v>
      </c>
      <c r="O105" s="29" t="s">
        <v>32</v>
      </c>
      <c r="P105" s="29" t="s">
        <v>33</v>
      </c>
      <c r="Q105" s="29" t="s">
        <v>44</v>
      </c>
      <c r="R105" s="11"/>
      <c r="S105" s="11"/>
      <c r="T105" s="11"/>
      <c r="U105" s="11"/>
      <c r="V105" s="11"/>
      <c r="W105" s="11"/>
      <c r="X105" s="11"/>
      <c r="Y105" s="11"/>
      <c r="Z105" s="11"/>
    </row>
    <row r="106" ht="15.75" customHeight="1">
      <c r="A106" s="25">
        <v>102.0</v>
      </c>
      <c r="B106" s="25" t="s">
        <v>1206</v>
      </c>
      <c r="C106" s="27" t="s">
        <v>1207</v>
      </c>
      <c r="D106" s="27" t="s">
        <v>1185</v>
      </c>
      <c r="E106" s="27" t="s">
        <v>1208</v>
      </c>
      <c r="F106" s="27" t="s">
        <v>1209</v>
      </c>
      <c r="G106" s="27" t="s">
        <v>1210</v>
      </c>
      <c r="H106" s="27" t="s">
        <v>1211</v>
      </c>
      <c r="I106" s="27" t="s">
        <v>1212</v>
      </c>
      <c r="J106" s="27" t="s">
        <v>1213</v>
      </c>
      <c r="K106" s="27" t="s">
        <v>1214</v>
      </c>
      <c r="L106" s="25" t="s">
        <v>67</v>
      </c>
      <c r="M106" s="25" t="s">
        <v>31</v>
      </c>
      <c r="N106" s="27" t="s">
        <v>67</v>
      </c>
      <c r="O106" s="27" t="s">
        <v>45</v>
      </c>
      <c r="P106" s="27" t="s">
        <v>32</v>
      </c>
      <c r="Q106" s="27" t="s">
        <v>67</v>
      </c>
      <c r="R106" s="11"/>
      <c r="S106" s="11"/>
      <c r="T106" s="11"/>
      <c r="U106" s="11"/>
      <c r="V106" s="11"/>
      <c r="W106" s="11"/>
      <c r="X106" s="11"/>
      <c r="Y106" s="11"/>
      <c r="Z106" s="11"/>
    </row>
    <row r="107" ht="15.75" customHeight="1">
      <c r="A107" s="25">
        <v>33.0</v>
      </c>
      <c r="B107" s="25" t="s">
        <v>905</v>
      </c>
      <c r="C107" s="27" t="s">
        <v>907</v>
      </c>
      <c r="D107" s="27" t="s">
        <v>90</v>
      </c>
      <c r="E107" s="27" t="s">
        <v>909</v>
      </c>
      <c r="F107" s="27" t="s">
        <v>910</v>
      </c>
      <c r="G107" s="27" t="s">
        <v>911</v>
      </c>
      <c r="H107" s="27" t="s">
        <v>912</v>
      </c>
      <c r="I107" s="27" t="s">
        <v>914</v>
      </c>
      <c r="J107" s="27" t="s">
        <v>916</v>
      </c>
      <c r="K107" s="27" t="s">
        <v>919</v>
      </c>
      <c r="L107" s="25" t="s">
        <v>30</v>
      </c>
      <c r="M107" s="25" t="s">
        <v>31</v>
      </c>
      <c r="N107" s="27" t="s">
        <v>44</v>
      </c>
      <c r="O107" s="27" t="s">
        <v>32</v>
      </c>
      <c r="P107" s="27" t="s">
        <v>45</v>
      </c>
      <c r="Q107" s="27" t="s">
        <v>30</v>
      </c>
      <c r="R107" s="11"/>
      <c r="S107" s="11"/>
      <c r="T107" s="11"/>
      <c r="U107" s="11"/>
      <c r="V107" s="11"/>
      <c r="W107" s="11"/>
      <c r="X107" s="11"/>
      <c r="Y107" s="11"/>
      <c r="Z107" s="11"/>
    </row>
    <row r="108" ht="15.75" customHeight="1">
      <c r="A108" s="25">
        <v>104.0</v>
      </c>
      <c r="B108" s="25" t="s">
        <v>1215</v>
      </c>
      <c r="C108" s="27" t="s">
        <v>1216</v>
      </c>
      <c r="D108" s="27" t="s">
        <v>346</v>
      </c>
      <c r="E108" s="27" t="s">
        <v>1217</v>
      </c>
      <c r="F108" s="27" t="s">
        <v>1218</v>
      </c>
      <c r="G108" s="27" t="s">
        <v>1219</v>
      </c>
      <c r="H108" s="27" t="s">
        <v>1220</v>
      </c>
      <c r="I108" s="27" t="s">
        <v>1221</v>
      </c>
      <c r="J108" s="27" t="s">
        <v>1222</v>
      </c>
      <c r="K108" s="27" t="s">
        <v>1223</v>
      </c>
      <c r="L108" s="25" t="s">
        <v>30</v>
      </c>
      <c r="M108" s="25" t="s">
        <v>31</v>
      </c>
      <c r="N108" s="27" t="s">
        <v>30</v>
      </c>
      <c r="O108" s="27" t="s">
        <v>33</v>
      </c>
      <c r="P108" s="27" t="s">
        <v>32</v>
      </c>
      <c r="Q108" s="27" t="s">
        <v>30</v>
      </c>
      <c r="R108" s="11"/>
      <c r="S108" s="11"/>
      <c r="T108" s="11"/>
      <c r="U108" s="11"/>
      <c r="V108" s="11"/>
      <c r="W108" s="11"/>
      <c r="X108" s="11"/>
      <c r="Y108" s="11"/>
      <c r="Z108" s="11"/>
    </row>
    <row r="109" ht="15.75" customHeight="1">
      <c r="A109" s="28">
        <v>105.0</v>
      </c>
      <c r="B109" s="28" t="s">
        <v>1227</v>
      </c>
      <c r="C109" s="29" t="s">
        <v>345</v>
      </c>
      <c r="D109" s="29" t="s">
        <v>346</v>
      </c>
      <c r="E109" s="29" t="s">
        <v>1229</v>
      </c>
      <c r="F109" s="29" t="s">
        <v>1230</v>
      </c>
      <c r="G109" s="29" t="s">
        <v>1231</v>
      </c>
      <c r="H109" s="29" t="s">
        <v>1233</v>
      </c>
      <c r="I109" s="29" t="s">
        <v>1234</v>
      </c>
      <c r="J109" s="29" t="s">
        <v>1236</v>
      </c>
      <c r="K109" s="29" t="s">
        <v>1237</v>
      </c>
      <c r="L109" s="28" t="s">
        <v>56</v>
      </c>
      <c r="M109" s="28" t="s">
        <v>31</v>
      </c>
      <c r="N109" s="29" t="s">
        <v>56</v>
      </c>
      <c r="O109" s="29" t="s">
        <v>32</v>
      </c>
      <c r="P109" s="29" t="s">
        <v>33</v>
      </c>
      <c r="Q109" s="29" t="s">
        <v>56</v>
      </c>
      <c r="R109" s="11" t="s">
        <v>31</v>
      </c>
      <c r="S109" s="11"/>
      <c r="T109" s="11"/>
      <c r="U109" s="11"/>
      <c r="V109" s="11"/>
      <c r="W109" s="11"/>
      <c r="X109" s="11"/>
      <c r="Y109" s="11"/>
      <c r="Z109" s="11"/>
    </row>
    <row r="110" ht="15.75" customHeight="1">
      <c r="A110" s="25">
        <v>106.0</v>
      </c>
      <c r="B110" s="25" t="s">
        <v>1238</v>
      </c>
      <c r="C110" s="27" t="s">
        <v>1216</v>
      </c>
      <c r="D110" s="27" t="s">
        <v>346</v>
      </c>
      <c r="E110" s="27" t="s">
        <v>1239</v>
      </c>
      <c r="F110" s="27" t="s">
        <v>1240</v>
      </c>
      <c r="G110" s="27" t="s">
        <v>1241</v>
      </c>
      <c r="H110" s="27" t="s">
        <v>1242</v>
      </c>
      <c r="I110" s="27" t="s">
        <v>1243</v>
      </c>
      <c r="J110" s="27" t="s">
        <v>1244</v>
      </c>
      <c r="K110" s="27" t="s">
        <v>1245</v>
      </c>
      <c r="L110" s="25" t="s">
        <v>44</v>
      </c>
      <c r="M110" s="25" t="s">
        <v>31</v>
      </c>
      <c r="N110" s="27" t="s">
        <v>44</v>
      </c>
      <c r="O110" s="27" t="s">
        <v>45</v>
      </c>
      <c r="P110" s="27" t="s">
        <v>33</v>
      </c>
      <c r="Q110" s="27" t="s">
        <v>44</v>
      </c>
      <c r="R110" s="11" t="s">
        <v>31</v>
      </c>
      <c r="S110" s="11"/>
      <c r="T110" s="11"/>
      <c r="U110" s="11"/>
      <c r="V110" s="11"/>
      <c r="W110" s="11"/>
      <c r="X110" s="11"/>
      <c r="Y110" s="11"/>
      <c r="Z110" s="11"/>
    </row>
    <row r="111" ht="15.75" customHeight="1">
      <c r="A111" s="25">
        <v>41.0</v>
      </c>
      <c r="B111" s="25" t="s">
        <v>1071</v>
      </c>
      <c r="C111" s="27" t="s">
        <v>190</v>
      </c>
      <c r="D111" s="27" t="s">
        <v>90</v>
      </c>
      <c r="E111" s="27" t="s">
        <v>1072</v>
      </c>
      <c r="F111" s="27" t="s">
        <v>1073</v>
      </c>
      <c r="G111" s="27" t="s">
        <v>1076</v>
      </c>
      <c r="H111" s="27" t="s">
        <v>1079</v>
      </c>
      <c r="I111" s="27" t="s">
        <v>1080</v>
      </c>
      <c r="J111" s="27" t="s">
        <v>1082</v>
      </c>
      <c r="K111" s="27" t="s">
        <v>1084</v>
      </c>
      <c r="L111" s="25" t="s">
        <v>30</v>
      </c>
      <c r="M111" s="25" t="s">
        <v>31</v>
      </c>
      <c r="N111" s="27" t="s">
        <v>30</v>
      </c>
      <c r="O111" s="27" t="s">
        <v>32</v>
      </c>
      <c r="P111" s="27" t="s">
        <v>45</v>
      </c>
      <c r="Q111" s="27" t="s">
        <v>56</v>
      </c>
      <c r="R111" s="11"/>
      <c r="S111" s="11"/>
      <c r="T111" s="11"/>
      <c r="U111" s="11"/>
      <c r="V111" s="11"/>
      <c r="W111" s="11"/>
      <c r="X111" s="11"/>
      <c r="Y111" s="11"/>
      <c r="Z111" s="11"/>
    </row>
    <row r="112" ht="15.75" customHeight="1">
      <c r="A112" s="25">
        <v>108.0</v>
      </c>
      <c r="B112" s="25" t="s">
        <v>1254</v>
      </c>
      <c r="C112" s="27" t="s">
        <v>1255</v>
      </c>
      <c r="D112" s="27" t="s">
        <v>346</v>
      </c>
      <c r="E112" s="27" t="s">
        <v>1257</v>
      </c>
      <c r="F112" s="27" t="s">
        <v>1258</v>
      </c>
      <c r="G112" s="27" t="s">
        <v>1259</v>
      </c>
      <c r="H112" s="27" t="s">
        <v>1261</v>
      </c>
      <c r="I112" s="27" t="s">
        <v>1262</v>
      </c>
      <c r="J112" s="27" t="s">
        <v>1263</v>
      </c>
      <c r="K112" s="27" t="s">
        <v>1265</v>
      </c>
      <c r="L112" s="25" t="s">
        <v>44</v>
      </c>
      <c r="M112" s="25" t="s">
        <v>31</v>
      </c>
      <c r="N112" s="27" t="s">
        <v>44</v>
      </c>
      <c r="O112" s="27" t="s">
        <v>33</v>
      </c>
      <c r="P112" s="27" t="s">
        <v>32</v>
      </c>
      <c r="Q112" s="27" t="s">
        <v>44</v>
      </c>
      <c r="R112" s="11"/>
      <c r="S112" s="11"/>
      <c r="T112" s="11"/>
      <c r="U112" s="11"/>
      <c r="V112" s="11"/>
      <c r="W112" s="11"/>
      <c r="X112" s="11"/>
      <c r="Y112" s="11"/>
      <c r="Z112" s="11"/>
    </row>
    <row r="113" ht="15.75" customHeight="1">
      <c r="A113" s="28">
        <v>109.0</v>
      </c>
      <c r="B113" s="28" t="s">
        <v>1267</v>
      </c>
      <c r="C113" s="29" t="s">
        <v>1268</v>
      </c>
      <c r="D113" s="29" t="s">
        <v>346</v>
      </c>
      <c r="E113" s="29" t="s">
        <v>1269</v>
      </c>
      <c r="F113" s="29" t="s">
        <v>1270</v>
      </c>
      <c r="G113" s="29" t="s">
        <v>1271</v>
      </c>
      <c r="H113" s="29" t="s">
        <v>1272</v>
      </c>
      <c r="I113" s="29" t="s">
        <v>1273</v>
      </c>
      <c r="J113" s="29" t="s">
        <v>1274</v>
      </c>
      <c r="K113" s="29" t="s">
        <v>1275</v>
      </c>
      <c r="L113" s="28" t="s">
        <v>56</v>
      </c>
      <c r="M113" s="28" t="s">
        <v>31</v>
      </c>
      <c r="N113" s="29" t="s">
        <v>98</v>
      </c>
      <c r="O113" s="29" t="s">
        <v>45</v>
      </c>
      <c r="P113" s="29" t="s">
        <v>33</v>
      </c>
      <c r="Q113" s="29" t="s">
        <v>98</v>
      </c>
      <c r="R113" s="11" t="s">
        <v>31</v>
      </c>
      <c r="S113" s="11"/>
      <c r="T113" s="11"/>
      <c r="U113" s="11"/>
      <c r="V113" s="11"/>
      <c r="W113" s="11"/>
      <c r="X113" s="11"/>
      <c r="Y113" s="11"/>
      <c r="Z113" s="11"/>
    </row>
    <row r="114" ht="15.75" customHeight="1">
      <c r="A114" s="28">
        <v>42.0</v>
      </c>
      <c r="B114" s="28" t="s">
        <v>1091</v>
      </c>
      <c r="C114" s="29" t="s">
        <v>1093</v>
      </c>
      <c r="D114" s="29" t="s">
        <v>90</v>
      </c>
      <c r="E114" s="29" t="s">
        <v>1096</v>
      </c>
      <c r="F114" s="29" t="s">
        <v>1097</v>
      </c>
      <c r="G114" s="29" t="s">
        <v>1098</v>
      </c>
      <c r="H114" s="29" t="s">
        <v>1099</v>
      </c>
      <c r="I114" s="29" t="s">
        <v>1100</v>
      </c>
      <c r="J114" s="29" t="s">
        <v>1101</v>
      </c>
      <c r="K114" s="29" t="s">
        <v>401</v>
      </c>
      <c r="L114" s="28" t="s">
        <v>56</v>
      </c>
      <c r="M114" s="28" t="s">
        <v>31</v>
      </c>
      <c r="N114" s="29" t="s">
        <v>56</v>
      </c>
      <c r="O114" s="29" t="s">
        <v>32</v>
      </c>
      <c r="P114" s="29" t="s">
        <v>45</v>
      </c>
      <c r="Q114" s="29" t="s">
        <v>98</v>
      </c>
      <c r="R114" s="11"/>
      <c r="S114" s="11"/>
      <c r="T114" s="11"/>
      <c r="U114" s="11"/>
      <c r="V114" s="11"/>
      <c r="W114" s="11"/>
      <c r="X114" s="11"/>
      <c r="Y114" s="11"/>
      <c r="Z114" s="11"/>
    </row>
    <row r="115" ht="15.75" customHeight="1">
      <c r="A115" s="28">
        <v>111.0</v>
      </c>
      <c r="B115" s="28" t="s">
        <v>1280</v>
      </c>
      <c r="C115" s="29" t="s">
        <v>345</v>
      </c>
      <c r="D115" s="29" t="s">
        <v>346</v>
      </c>
      <c r="E115" s="29" t="s">
        <v>1281</v>
      </c>
      <c r="F115" s="29" t="s">
        <v>1282</v>
      </c>
      <c r="G115" s="29" t="s">
        <v>1283</v>
      </c>
      <c r="H115" s="29" t="s">
        <v>1284</v>
      </c>
      <c r="I115" s="29" t="s">
        <v>1286</v>
      </c>
      <c r="J115" s="29" t="s">
        <v>1287</v>
      </c>
      <c r="K115" s="29" t="s">
        <v>1288</v>
      </c>
      <c r="L115" s="28" t="s">
        <v>56</v>
      </c>
      <c r="M115" s="28" t="s">
        <v>31</v>
      </c>
      <c r="N115" s="29" t="s">
        <v>44</v>
      </c>
      <c r="O115" s="29" t="s">
        <v>33</v>
      </c>
      <c r="P115" s="29" t="s">
        <v>32</v>
      </c>
      <c r="Q115" s="29" t="s">
        <v>44</v>
      </c>
      <c r="R115" s="11"/>
      <c r="S115" s="11"/>
      <c r="T115" s="11"/>
      <c r="U115" s="11"/>
      <c r="V115" s="11"/>
      <c r="W115" s="11"/>
      <c r="X115" s="11"/>
      <c r="Y115" s="11"/>
      <c r="Z115" s="11"/>
    </row>
    <row r="116" ht="15.75" customHeight="1">
      <c r="A116" s="25">
        <v>45.0</v>
      </c>
      <c r="B116" s="25" t="s">
        <v>1138</v>
      </c>
      <c r="C116" s="27" t="s">
        <v>1140</v>
      </c>
      <c r="D116" s="27" t="s">
        <v>90</v>
      </c>
      <c r="E116" s="27" t="s">
        <v>1142</v>
      </c>
      <c r="F116" s="27" t="s">
        <v>1143</v>
      </c>
      <c r="G116" s="27" t="s">
        <v>1144</v>
      </c>
      <c r="H116" s="27" t="s">
        <v>1147</v>
      </c>
      <c r="I116" s="27" t="s">
        <v>1153</v>
      </c>
      <c r="J116" s="27" t="s">
        <v>1156</v>
      </c>
      <c r="K116" s="27" t="s">
        <v>401</v>
      </c>
      <c r="L116" s="25" t="s">
        <v>56</v>
      </c>
      <c r="M116" s="25" t="s">
        <v>31</v>
      </c>
      <c r="N116" s="27" t="s">
        <v>56</v>
      </c>
      <c r="O116" s="27" t="s">
        <v>32</v>
      </c>
      <c r="P116" s="27" t="s">
        <v>45</v>
      </c>
      <c r="Q116" s="27" t="s">
        <v>56</v>
      </c>
      <c r="R116" s="11"/>
      <c r="S116" s="11"/>
      <c r="T116" s="11"/>
      <c r="U116" s="11"/>
      <c r="V116" s="11"/>
      <c r="W116" s="11"/>
      <c r="X116" s="11"/>
      <c r="Y116" s="11"/>
      <c r="Z116" s="11"/>
    </row>
    <row r="117" ht="15.75" customHeight="1">
      <c r="A117" s="28">
        <v>113.0</v>
      </c>
      <c r="B117" s="28" t="s">
        <v>1296</v>
      </c>
      <c r="C117" s="29" t="s">
        <v>1297</v>
      </c>
      <c r="D117" s="29" t="s">
        <v>1298</v>
      </c>
      <c r="E117" s="29" t="s">
        <v>1299</v>
      </c>
      <c r="F117" s="29" t="s">
        <v>1300</v>
      </c>
      <c r="G117" s="29" t="s">
        <v>1301</v>
      </c>
      <c r="H117" s="29" t="s">
        <v>1302</v>
      </c>
      <c r="I117" s="29" t="s">
        <v>1303</v>
      </c>
      <c r="J117" s="29" t="s">
        <v>1304</v>
      </c>
      <c r="K117" s="29" t="s">
        <v>1305</v>
      </c>
      <c r="L117" s="28" t="s">
        <v>30</v>
      </c>
      <c r="M117" s="28" t="s">
        <v>31</v>
      </c>
      <c r="N117" s="29" t="s">
        <v>98</v>
      </c>
      <c r="O117" s="29" t="s">
        <v>32</v>
      </c>
      <c r="P117" s="29" t="s">
        <v>33</v>
      </c>
      <c r="Q117" s="29" t="s">
        <v>98</v>
      </c>
      <c r="R117" s="11"/>
      <c r="S117" s="11"/>
      <c r="T117" s="11"/>
      <c r="U117" s="11"/>
      <c r="V117" s="11"/>
      <c r="W117" s="11"/>
      <c r="X117" s="11"/>
      <c r="Y117" s="11"/>
      <c r="Z117" s="11"/>
    </row>
    <row r="118" ht="15.75" customHeight="1">
      <c r="A118" s="25">
        <v>51.0</v>
      </c>
      <c r="B118" s="25" t="s">
        <v>1306</v>
      </c>
      <c r="C118" s="27" t="s">
        <v>599</v>
      </c>
      <c r="D118" s="27" t="s">
        <v>90</v>
      </c>
      <c r="E118" s="27" t="s">
        <v>1307</v>
      </c>
      <c r="F118" s="27" t="s">
        <v>1308</v>
      </c>
      <c r="G118" s="27" t="s">
        <v>1309</v>
      </c>
      <c r="H118" s="27" t="s">
        <v>1310</v>
      </c>
      <c r="I118" s="27" t="s">
        <v>1311</v>
      </c>
      <c r="J118" s="27" t="s">
        <v>1312</v>
      </c>
      <c r="K118" s="27" t="s">
        <v>1313</v>
      </c>
      <c r="L118" s="25" t="s">
        <v>44</v>
      </c>
      <c r="M118" s="25" t="s">
        <v>31</v>
      </c>
      <c r="N118" s="27" t="s">
        <v>44</v>
      </c>
      <c r="O118" s="27" t="s">
        <v>32</v>
      </c>
      <c r="P118" s="27" t="s">
        <v>45</v>
      </c>
      <c r="Q118" s="27" t="s">
        <v>44</v>
      </c>
      <c r="R118" s="11"/>
      <c r="S118" s="11"/>
      <c r="T118" s="11"/>
      <c r="U118" s="11"/>
      <c r="V118" s="11"/>
      <c r="W118" s="11"/>
      <c r="X118" s="11"/>
      <c r="Y118" s="11"/>
      <c r="Z118" s="11"/>
    </row>
    <row r="119" ht="15.75" customHeight="1">
      <c r="A119" s="28">
        <v>115.0</v>
      </c>
      <c r="B119" s="28" t="s">
        <v>1314</v>
      </c>
      <c r="C119" s="29" t="s">
        <v>1315</v>
      </c>
      <c r="D119" s="29" t="s">
        <v>1316</v>
      </c>
      <c r="E119" s="29" t="s">
        <v>1317</v>
      </c>
      <c r="F119" s="29" t="s">
        <v>1318</v>
      </c>
      <c r="G119" s="29"/>
      <c r="H119" s="29" t="s">
        <v>1319</v>
      </c>
      <c r="I119" s="29" t="s">
        <v>1320</v>
      </c>
      <c r="J119" s="29" t="s">
        <v>1321</v>
      </c>
      <c r="K119" s="29" t="s">
        <v>1322</v>
      </c>
      <c r="L119" s="28" t="s">
        <v>98</v>
      </c>
      <c r="M119" s="28" t="s">
        <v>31</v>
      </c>
      <c r="N119" s="29" t="s">
        <v>98</v>
      </c>
      <c r="O119" s="29" t="s">
        <v>33</v>
      </c>
      <c r="P119" s="29" t="s">
        <v>32</v>
      </c>
      <c r="Q119" s="29" t="s">
        <v>98</v>
      </c>
      <c r="R119" s="11"/>
      <c r="S119" s="11"/>
      <c r="T119" s="11"/>
      <c r="U119" s="11"/>
      <c r="V119" s="11"/>
      <c r="W119" s="11"/>
      <c r="X119" s="11"/>
      <c r="Y119" s="11"/>
      <c r="Z119" s="11"/>
    </row>
    <row r="120" ht="15.75" customHeight="1">
      <c r="A120" s="25">
        <v>116.0</v>
      </c>
      <c r="B120" s="25" t="s">
        <v>1323</v>
      </c>
      <c r="C120" s="27" t="s">
        <v>1324</v>
      </c>
      <c r="D120" s="27" t="s">
        <v>1316</v>
      </c>
      <c r="E120" s="27" t="s">
        <v>1325</v>
      </c>
      <c r="F120" s="27" t="s">
        <v>1326</v>
      </c>
      <c r="G120" s="27" t="s">
        <v>1327</v>
      </c>
      <c r="H120" s="27" t="s">
        <v>1328</v>
      </c>
      <c r="I120" s="27" t="s">
        <v>1329</v>
      </c>
      <c r="J120" s="27" t="s">
        <v>1330</v>
      </c>
      <c r="K120" s="27" t="s">
        <v>1331</v>
      </c>
      <c r="L120" s="25" t="s">
        <v>98</v>
      </c>
      <c r="M120" s="25" t="s">
        <v>31</v>
      </c>
      <c r="N120" s="27" t="s">
        <v>98</v>
      </c>
      <c r="O120" s="27" t="s">
        <v>32</v>
      </c>
      <c r="P120" s="27" t="s">
        <v>33</v>
      </c>
      <c r="Q120" s="27" t="s">
        <v>98</v>
      </c>
      <c r="R120" s="11"/>
      <c r="S120" s="11"/>
      <c r="T120" s="11"/>
      <c r="U120" s="11"/>
      <c r="V120" s="11"/>
      <c r="W120" s="11"/>
      <c r="X120" s="11"/>
      <c r="Y120" s="11"/>
      <c r="Z120" s="11"/>
    </row>
    <row r="121" ht="45.0" customHeight="1">
      <c r="A121" s="41">
        <v>117.0</v>
      </c>
      <c r="B121" s="41" t="s">
        <v>1332</v>
      </c>
      <c r="C121" s="36" t="s">
        <v>1333</v>
      </c>
      <c r="D121" s="36" t="s">
        <v>217</v>
      </c>
      <c r="E121" s="36" t="s">
        <v>1335</v>
      </c>
      <c r="F121" s="36" t="s">
        <v>1336</v>
      </c>
      <c r="G121" s="36" t="s">
        <v>1338</v>
      </c>
      <c r="H121" s="36" t="s">
        <v>1339</v>
      </c>
      <c r="I121" s="36" t="s">
        <v>1340</v>
      </c>
      <c r="J121" s="36" t="s">
        <v>1342</v>
      </c>
      <c r="K121" s="29" t="s">
        <v>1343</v>
      </c>
      <c r="L121" s="28" t="s">
        <v>56</v>
      </c>
      <c r="M121" s="28" t="s">
        <v>33</v>
      </c>
      <c r="N121" s="29" t="s">
        <v>67</v>
      </c>
      <c r="O121" s="29" t="s">
        <v>32</v>
      </c>
      <c r="P121" s="29" t="s">
        <v>31</v>
      </c>
      <c r="Q121" s="29" t="s">
        <v>67</v>
      </c>
      <c r="R121" s="11"/>
      <c r="S121" s="11"/>
      <c r="T121" s="11"/>
      <c r="U121" s="11"/>
      <c r="V121" s="11"/>
      <c r="W121" s="11"/>
      <c r="X121" s="11"/>
      <c r="Y121" s="11"/>
      <c r="Z121" s="11"/>
    </row>
    <row r="122" ht="59.25" customHeight="1">
      <c r="A122" s="42">
        <v>118.0</v>
      </c>
      <c r="B122" s="42" t="s">
        <v>1344</v>
      </c>
      <c r="C122" s="38" t="s">
        <v>1345</v>
      </c>
      <c r="D122" s="38" t="s">
        <v>217</v>
      </c>
      <c r="E122" s="38" t="s">
        <v>1346</v>
      </c>
      <c r="F122" s="38" t="s">
        <v>1347</v>
      </c>
      <c r="G122" s="38" t="s">
        <v>1348</v>
      </c>
      <c r="H122" s="38" t="s">
        <v>1349</v>
      </c>
      <c r="I122" s="38" t="s">
        <v>1350</v>
      </c>
      <c r="J122" s="38" t="s">
        <v>1351</v>
      </c>
      <c r="K122" s="27" t="s">
        <v>1352</v>
      </c>
      <c r="L122" s="25" t="s">
        <v>56</v>
      </c>
      <c r="M122" s="25" t="s">
        <v>33</v>
      </c>
      <c r="N122" s="27" t="s">
        <v>67</v>
      </c>
      <c r="O122" s="27" t="s">
        <v>45</v>
      </c>
      <c r="P122" s="27" t="s">
        <v>31</v>
      </c>
      <c r="Q122" s="27" t="s">
        <v>67</v>
      </c>
      <c r="R122" s="11"/>
      <c r="S122" s="11"/>
      <c r="T122" s="11"/>
      <c r="U122" s="11"/>
      <c r="V122" s="11"/>
      <c r="W122" s="11"/>
      <c r="X122" s="11"/>
      <c r="Y122" s="11"/>
      <c r="Z122" s="11"/>
    </row>
    <row r="123" ht="66.0" customHeight="1">
      <c r="A123" s="41">
        <v>119.0</v>
      </c>
      <c r="B123" s="41" t="s">
        <v>1353</v>
      </c>
      <c r="C123" s="36" t="s">
        <v>1354</v>
      </c>
      <c r="D123" s="36" t="s">
        <v>217</v>
      </c>
      <c r="E123" s="36" t="s">
        <v>1355</v>
      </c>
      <c r="F123" s="36" t="s">
        <v>1356</v>
      </c>
      <c r="G123" s="36" t="s">
        <v>1357</v>
      </c>
      <c r="H123" s="36" t="s">
        <v>1340</v>
      </c>
      <c r="I123" s="36" t="s">
        <v>1340</v>
      </c>
      <c r="J123" s="36" t="s">
        <v>1340</v>
      </c>
      <c r="K123" s="29" t="s">
        <v>1358</v>
      </c>
      <c r="L123" s="28" t="s">
        <v>56</v>
      </c>
      <c r="M123" s="28" t="s">
        <v>33</v>
      </c>
      <c r="N123" s="29" t="s">
        <v>56</v>
      </c>
      <c r="O123" s="29" t="s">
        <v>32</v>
      </c>
      <c r="P123" s="29" t="s">
        <v>31</v>
      </c>
      <c r="Q123" s="29" t="s">
        <v>67</v>
      </c>
      <c r="R123" s="11"/>
      <c r="S123" s="11"/>
      <c r="T123" s="11"/>
      <c r="U123" s="11"/>
      <c r="V123" s="11"/>
      <c r="W123" s="11"/>
      <c r="X123" s="11"/>
      <c r="Y123" s="11"/>
      <c r="Z123" s="11"/>
    </row>
    <row r="124" ht="53.25" customHeight="1">
      <c r="A124" s="42">
        <v>120.0</v>
      </c>
      <c r="B124" s="42" t="s">
        <v>1359</v>
      </c>
      <c r="C124" s="38" t="s">
        <v>1360</v>
      </c>
      <c r="D124" s="38" t="s">
        <v>217</v>
      </c>
      <c r="E124" s="38" t="s">
        <v>1361</v>
      </c>
      <c r="F124" s="38" t="s">
        <v>1362</v>
      </c>
      <c r="G124" s="38" t="s">
        <v>1363</v>
      </c>
      <c r="H124" s="38" t="s">
        <v>1364</v>
      </c>
      <c r="I124" s="38" t="s">
        <v>1340</v>
      </c>
      <c r="J124" s="38" t="s">
        <v>1365</v>
      </c>
      <c r="K124" s="27" t="s">
        <v>1366</v>
      </c>
      <c r="L124" s="25" t="s">
        <v>56</v>
      </c>
      <c r="M124" s="25" t="s">
        <v>33</v>
      </c>
      <c r="N124" s="27" t="s">
        <v>67</v>
      </c>
      <c r="O124" s="27" t="s">
        <v>32</v>
      </c>
      <c r="P124" s="27" t="s">
        <v>31</v>
      </c>
      <c r="Q124" s="27" t="s">
        <v>67</v>
      </c>
      <c r="R124" s="11"/>
      <c r="S124" s="11"/>
      <c r="T124" s="11"/>
      <c r="U124" s="11"/>
      <c r="V124" s="11"/>
      <c r="W124" s="11"/>
      <c r="X124" s="11"/>
      <c r="Y124" s="11"/>
      <c r="Z124" s="11"/>
    </row>
    <row r="125" ht="70.5" customHeight="1">
      <c r="A125" s="41">
        <v>121.0</v>
      </c>
      <c r="B125" s="41" t="s">
        <v>1369</v>
      </c>
      <c r="C125" s="36" t="s">
        <v>1370</v>
      </c>
      <c r="D125" s="36" t="s">
        <v>217</v>
      </c>
      <c r="E125" s="36" t="s">
        <v>1371</v>
      </c>
      <c r="F125" s="36" t="s">
        <v>1372</v>
      </c>
      <c r="G125" s="36" t="s">
        <v>1374</v>
      </c>
      <c r="H125" s="36" t="s">
        <v>1375</v>
      </c>
      <c r="I125" s="36" t="s">
        <v>1340</v>
      </c>
      <c r="J125" s="36" t="s">
        <v>1377</v>
      </c>
      <c r="K125" s="29" t="s">
        <v>1378</v>
      </c>
      <c r="L125" s="28" t="s">
        <v>56</v>
      </c>
      <c r="M125" s="28" t="s">
        <v>33</v>
      </c>
      <c r="N125" s="29" t="s">
        <v>56</v>
      </c>
      <c r="O125" s="29" t="s">
        <v>45</v>
      </c>
      <c r="P125" s="29" t="s">
        <v>31</v>
      </c>
      <c r="Q125" s="29" t="s">
        <v>67</v>
      </c>
      <c r="R125" s="11"/>
      <c r="S125" s="11"/>
      <c r="T125" s="11"/>
      <c r="U125" s="11"/>
      <c r="V125" s="11"/>
      <c r="W125" s="11"/>
      <c r="X125" s="11"/>
      <c r="Y125" s="11"/>
      <c r="Z125" s="11"/>
    </row>
    <row r="126" ht="49.5" customHeight="1">
      <c r="A126" s="42">
        <v>122.0</v>
      </c>
      <c r="B126" s="42" t="s">
        <v>1379</v>
      </c>
      <c r="C126" s="38" t="s">
        <v>1380</v>
      </c>
      <c r="D126" s="38" t="s">
        <v>217</v>
      </c>
      <c r="E126" s="38" t="s">
        <v>1381</v>
      </c>
      <c r="F126" s="38" t="s">
        <v>1382</v>
      </c>
      <c r="G126" s="38" t="s">
        <v>1383</v>
      </c>
      <c r="H126" s="38" t="s">
        <v>1384</v>
      </c>
      <c r="I126" s="38" t="s">
        <v>1385</v>
      </c>
      <c r="J126" s="38" t="s">
        <v>1386</v>
      </c>
      <c r="K126" s="27" t="s">
        <v>1387</v>
      </c>
      <c r="L126" s="25" t="s">
        <v>56</v>
      </c>
      <c r="M126" s="25" t="s">
        <v>33</v>
      </c>
      <c r="N126" s="27" t="s">
        <v>56</v>
      </c>
      <c r="O126" s="27" t="s">
        <v>32</v>
      </c>
      <c r="P126" s="27" t="s">
        <v>31</v>
      </c>
      <c r="Q126" s="27" t="s">
        <v>67</v>
      </c>
      <c r="R126" s="11"/>
      <c r="S126" s="11"/>
      <c r="T126" s="11"/>
      <c r="U126" s="11"/>
      <c r="V126" s="11"/>
      <c r="W126" s="11"/>
      <c r="X126" s="11"/>
      <c r="Y126" s="11"/>
      <c r="Z126" s="11"/>
    </row>
    <row r="127" ht="66.75" customHeight="1">
      <c r="A127" s="41">
        <v>123.0</v>
      </c>
      <c r="B127" s="41" t="s">
        <v>1388</v>
      </c>
      <c r="C127" s="36" t="s">
        <v>1389</v>
      </c>
      <c r="D127" s="36" t="s">
        <v>217</v>
      </c>
      <c r="E127" s="36" t="s">
        <v>1390</v>
      </c>
      <c r="F127" s="36" t="s">
        <v>1391</v>
      </c>
      <c r="G127" s="36" t="s">
        <v>1392</v>
      </c>
      <c r="H127" s="36" t="s">
        <v>1393</v>
      </c>
      <c r="I127" s="36" t="s">
        <v>1340</v>
      </c>
      <c r="J127" s="36" t="s">
        <v>1394</v>
      </c>
      <c r="K127" s="29" t="s">
        <v>1395</v>
      </c>
      <c r="L127" s="28" t="s">
        <v>56</v>
      </c>
      <c r="M127" s="28" t="s">
        <v>33</v>
      </c>
      <c r="N127" s="29" t="s">
        <v>67</v>
      </c>
      <c r="O127" s="29" t="s">
        <v>32</v>
      </c>
      <c r="P127" s="29" t="s">
        <v>31</v>
      </c>
      <c r="Q127" s="29" t="s">
        <v>67</v>
      </c>
      <c r="R127" s="11"/>
      <c r="S127" s="11"/>
      <c r="T127" s="11"/>
      <c r="U127" s="11"/>
      <c r="V127" s="11"/>
      <c r="W127" s="11"/>
      <c r="X127" s="11"/>
      <c r="Y127" s="11"/>
      <c r="Z127" s="11"/>
    </row>
    <row r="128" ht="54.75" customHeight="1">
      <c r="A128" s="42">
        <v>124.0</v>
      </c>
      <c r="B128" s="42" t="s">
        <v>1396</v>
      </c>
      <c r="C128" s="38" t="s">
        <v>1397</v>
      </c>
      <c r="D128" s="38" t="s">
        <v>217</v>
      </c>
      <c r="E128" s="38" t="s">
        <v>1398</v>
      </c>
      <c r="F128" s="38" t="s">
        <v>1399</v>
      </c>
      <c r="G128" s="38" t="s">
        <v>1400</v>
      </c>
      <c r="H128" s="38" t="s">
        <v>1401</v>
      </c>
      <c r="I128" s="38" t="s">
        <v>1402</v>
      </c>
      <c r="J128" s="38" t="s">
        <v>1403</v>
      </c>
      <c r="K128" s="27" t="s">
        <v>1404</v>
      </c>
      <c r="L128" s="25" t="s">
        <v>56</v>
      </c>
      <c r="M128" s="25" t="s">
        <v>33</v>
      </c>
      <c r="N128" s="27" t="s">
        <v>67</v>
      </c>
      <c r="O128" s="27" t="s">
        <v>32</v>
      </c>
      <c r="P128" s="27" t="s">
        <v>31</v>
      </c>
      <c r="Q128" s="27" t="s">
        <v>67</v>
      </c>
      <c r="R128" s="11"/>
      <c r="S128" s="11"/>
      <c r="T128" s="11"/>
      <c r="U128" s="11"/>
      <c r="V128" s="11"/>
      <c r="W128" s="11"/>
      <c r="X128" s="11"/>
      <c r="Y128" s="11"/>
      <c r="Z128" s="11"/>
    </row>
    <row r="129" ht="43.5" customHeight="1">
      <c r="A129" s="41">
        <v>125.0</v>
      </c>
      <c r="B129" s="41" t="s">
        <v>1410</v>
      </c>
      <c r="C129" s="36" t="s">
        <v>1411</v>
      </c>
      <c r="D129" s="36" t="s">
        <v>217</v>
      </c>
      <c r="E129" s="36" t="s">
        <v>1413</v>
      </c>
      <c r="F129" s="36" t="s">
        <v>1415</v>
      </c>
      <c r="G129" s="36" t="s">
        <v>1416</v>
      </c>
      <c r="H129" s="36" t="s">
        <v>1417</v>
      </c>
      <c r="I129" s="36" t="s">
        <v>1340</v>
      </c>
      <c r="J129" s="36" t="s">
        <v>1419</v>
      </c>
      <c r="K129" s="29" t="s">
        <v>1420</v>
      </c>
      <c r="L129" s="28" t="s">
        <v>56</v>
      </c>
      <c r="M129" s="28" t="s">
        <v>33</v>
      </c>
      <c r="N129" s="29" t="s">
        <v>67</v>
      </c>
      <c r="O129" s="29" t="s">
        <v>32</v>
      </c>
      <c r="P129" s="29" t="s">
        <v>31</v>
      </c>
      <c r="Q129" s="29" t="s">
        <v>67</v>
      </c>
      <c r="R129" s="11"/>
      <c r="S129" s="11"/>
      <c r="T129" s="11"/>
      <c r="U129" s="11"/>
      <c r="V129" s="11"/>
      <c r="W129" s="11"/>
      <c r="X129" s="11"/>
      <c r="Y129" s="11"/>
      <c r="Z129" s="11"/>
    </row>
    <row r="130" ht="41.25" customHeight="1">
      <c r="A130" s="42">
        <v>126.0</v>
      </c>
      <c r="B130" s="42" t="s">
        <v>1425</v>
      </c>
      <c r="C130" s="38" t="s">
        <v>1427</v>
      </c>
      <c r="D130" s="38" t="s">
        <v>217</v>
      </c>
      <c r="E130" s="38" t="s">
        <v>1428</v>
      </c>
      <c r="F130" s="38" t="s">
        <v>1429</v>
      </c>
      <c r="G130" s="38" t="s">
        <v>1430</v>
      </c>
      <c r="H130" s="38" t="s">
        <v>1431</v>
      </c>
      <c r="I130" s="38" t="s">
        <v>1340</v>
      </c>
      <c r="J130" s="38" t="s">
        <v>1432</v>
      </c>
      <c r="K130" s="27" t="s">
        <v>1433</v>
      </c>
      <c r="L130" s="25" t="s">
        <v>56</v>
      </c>
      <c r="M130" s="25" t="s">
        <v>33</v>
      </c>
      <c r="N130" s="27" t="s">
        <v>56</v>
      </c>
      <c r="O130" s="27" t="s">
        <v>45</v>
      </c>
      <c r="P130" s="27" t="s">
        <v>31</v>
      </c>
      <c r="Q130" s="27" t="s">
        <v>56</v>
      </c>
      <c r="R130" s="11"/>
      <c r="S130" s="11"/>
      <c r="T130" s="11"/>
      <c r="U130" s="11"/>
      <c r="V130" s="11"/>
      <c r="W130" s="11"/>
      <c r="X130" s="11"/>
      <c r="Y130" s="11"/>
      <c r="Z130" s="11"/>
    </row>
    <row r="131" ht="41.25" customHeight="1">
      <c r="A131" s="41">
        <v>127.0</v>
      </c>
      <c r="B131" s="41" t="s">
        <v>1434</v>
      </c>
      <c r="C131" s="36" t="s">
        <v>1435</v>
      </c>
      <c r="D131" s="36" t="s">
        <v>217</v>
      </c>
      <c r="E131" s="36" t="s">
        <v>1436</v>
      </c>
      <c r="F131" s="36" t="s">
        <v>1437</v>
      </c>
      <c r="G131" s="36" t="s">
        <v>1438</v>
      </c>
      <c r="H131" s="36" t="s">
        <v>1439</v>
      </c>
      <c r="I131" s="36" t="s">
        <v>1340</v>
      </c>
      <c r="J131" s="36" t="s">
        <v>1440</v>
      </c>
      <c r="K131" s="29" t="s">
        <v>1441</v>
      </c>
      <c r="L131" s="28" t="s">
        <v>56</v>
      </c>
      <c r="M131" s="28" t="s">
        <v>33</v>
      </c>
      <c r="N131" s="29" t="s">
        <v>56</v>
      </c>
      <c r="O131" s="29" t="s">
        <v>45</v>
      </c>
      <c r="P131" s="29" t="s">
        <v>31</v>
      </c>
      <c r="Q131" s="29" t="s">
        <v>56</v>
      </c>
      <c r="R131" s="11"/>
      <c r="S131" s="11"/>
      <c r="T131" s="11"/>
      <c r="U131" s="11"/>
      <c r="V131" s="11"/>
      <c r="W131" s="11"/>
      <c r="X131" s="11"/>
      <c r="Y131" s="11"/>
      <c r="Z131" s="11"/>
    </row>
    <row r="132" ht="66.0" customHeight="1">
      <c r="A132" s="42">
        <v>128.0</v>
      </c>
      <c r="B132" s="42" t="s">
        <v>1442</v>
      </c>
      <c r="C132" s="38" t="s">
        <v>1443</v>
      </c>
      <c r="D132" s="38" t="s">
        <v>217</v>
      </c>
      <c r="E132" s="38" t="s">
        <v>1444</v>
      </c>
      <c r="F132" s="38" t="s">
        <v>1445</v>
      </c>
      <c r="G132" s="38" t="s">
        <v>1446</v>
      </c>
      <c r="H132" s="38" t="s">
        <v>1447</v>
      </c>
      <c r="I132" s="38" t="s">
        <v>1340</v>
      </c>
      <c r="J132" s="38" t="s">
        <v>1448</v>
      </c>
      <c r="K132" s="27" t="s">
        <v>1449</v>
      </c>
      <c r="L132" s="25" t="s">
        <v>56</v>
      </c>
      <c r="M132" s="25" t="s">
        <v>33</v>
      </c>
      <c r="N132" s="27" t="s">
        <v>44</v>
      </c>
      <c r="O132" s="27" t="s">
        <v>32</v>
      </c>
      <c r="P132" s="27" t="s">
        <v>31</v>
      </c>
      <c r="Q132" s="27" t="s">
        <v>56</v>
      </c>
      <c r="R132" s="11"/>
      <c r="S132" s="11"/>
      <c r="T132" s="11"/>
      <c r="U132" s="11"/>
      <c r="V132" s="11"/>
      <c r="W132" s="11"/>
      <c r="X132" s="11"/>
      <c r="Y132" s="11"/>
      <c r="Z132" s="11"/>
    </row>
    <row r="133" ht="68.25" customHeight="1">
      <c r="A133" s="41">
        <v>129.0</v>
      </c>
      <c r="B133" s="41" t="s">
        <v>1454</v>
      </c>
      <c r="C133" s="36" t="s">
        <v>1455</v>
      </c>
      <c r="D133" s="36" t="s">
        <v>217</v>
      </c>
      <c r="E133" s="36" t="s">
        <v>1456</v>
      </c>
      <c r="F133" s="36" t="s">
        <v>1457</v>
      </c>
      <c r="G133" s="36" t="s">
        <v>1458</v>
      </c>
      <c r="H133" s="36" t="s">
        <v>1459</v>
      </c>
      <c r="I133" s="36" t="s">
        <v>1340</v>
      </c>
      <c r="J133" s="36" t="s">
        <v>1460</v>
      </c>
      <c r="K133" s="29" t="s">
        <v>1461</v>
      </c>
      <c r="L133" s="28" t="s">
        <v>56</v>
      </c>
      <c r="M133" s="28" t="s">
        <v>33</v>
      </c>
      <c r="N133" s="29" t="s">
        <v>67</v>
      </c>
      <c r="O133" s="29" t="s">
        <v>45</v>
      </c>
      <c r="P133" s="29" t="s">
        <v>31</v>
      </c>
      <c r="Q133" s="29" t="s">
        <v>56</v>
      </c>
      <c r="R133" s="11"/>
      <c r="S133" s="11"/>
      <c r="T133" s="11"/>
      <c r="U133" s="11"/>
      <c r="V133" s="11"/>
      <c r="W133" s="11"/>
      <c r="X133" s="11"/>
      <c r="Y133" s="11"/>
      <c r="Z133" s="11"/>
    </row>
    <row r="134" ht="53.25" customHeight="1">
      <c r="A134" s="42">
        <v>130.0</v>
      </c>
      <c r="B134" s="42" t="s">
        <v>1462</v>
      </c>
      <c r="C134" s="38" t="s">
        <v>1463</v>
      </c>
      <c r="D134" s="38" t="s">
        <v>217</v>
      </c>
      <c r="E134" s="38" t="s">
        <v>1464</v>
      </c>
      <c r="F134" s="38" t="s">
        <v>1465</v>
      </c>
      <c r="G134" s="38" t="s">
        <v>1466</v>
      </c>
      <c r="H134" s="38" t="s">
        <v>1467</v>
      </c>
      <c r="I134" s="38" t="s">
        <v>1340</v>
      </c>
      <c r="J134" s="38" t="s">
        <v>1468</v>
      </c>
      <c r="K134" s="27" t="s">
        <v>1469</v>
      </c>
      <c r="L134" s="25" t="s">
        <v>56</v>
      </c>
      <c r="M134" s="25" t="s">
        <v>33</v>
      </c>
      <c r="N134" s="27" t="s">
        <v>44</v>
      </c>
      <c r="O134" s="27" t="s">
        <v>32</v>
      </c>
      <c r="P134" s="27" t="s">
        <v>31</v>
      </c>
      <c r="Q134" s="27" t="s">
        <v>67</v>
      </c>
      <c r="R134" s="11"/>
      <c r="S134" s="11"/>
      <c r="T134" s="11"/>
      <c r="U134" s="11"/>
      <c r="V134" s="11"/>
      <c r="W134" s="11"/>
      <c r="X134" s="11"/>
      <c r="Y134" s="11"/>
      <c r="Z134" s="11"/>
    </row>
    <row r="135" ht="56.25" customHeight="1">
      <c r="A135" s="41">
        <v>131.0</v>
      </c>
      <c r="B135" s="41" t="s">
        <v>1470</v>
      </c>
      <c r="C135" s="36" t="s">
        <v>1471</v>
      </c>
      <c r="D135" s="36" t="s">
        <v>217</v>
      </c>
      <c r="E135" s="36" t="s">
        <v>1472</v>
      </c>
      <c r="F135" s="36" t="s">
        <v>1473</v>
      </c>
      <c r="G135" s="36" t="s">
        <v>1474</v>
      </c>
      <c r="H135" s="36" t="s">
        <v>1475</v>
      </c>
      <c r="I135" s="36" t="s">
        <v>1340</v>
      </c>
      <c r="J135" s="36" t="s">
        <v>1476</v>
      </c>
      <c r="K135" s="29" t="s">
        <v>1477</v>
      </c>
      <c r="L135" s="28" t="s">
        <v>56</v>
      </c>
      <c r="M135" s="28" t="s">
        <v>33</v>
      </c>
      <c r="N135" s="29" t="s">
        <v>67</v>
      </c>
      <c r="O135" s="29" t="s">
        <v>32</v>
      </c>
      <c r="P135" s="29" t="s">
        <v>31</v>
      </c>
      <c r="Q135" s="29" t="s">
        <v>56</v>
      </c>
      <c r="R135" s="11"/>
      <c r="S135" s="11"/>
      <c r="T135" s="11"/>
      <c r="U135" s="11"/>
      <c r="V135" s="11"/>
      <c r="W135" s="11"/>
      <c r="X135" s="11"/>
      <c r="Y135" s="11"/>
      <c r="Z135" s="11"/>
    </row>
    <row r="136" ht="60.75" customHeight="1">
      <c r="A136" s="42">
        <v>132.0</v>
      </c>
      <c r="B136" s="42" t="s">
        <v>1478</v>
      </c>
      <c r="C136" s="38" t="s">
        <v>1479</v>
      </c>
      <c r="D136" s="38" t="s">
        <v>217</v>
      </c>
      <c r="E136" s="38" t="s">
        <v>1480</v>
      </c>
      <c r="F136" s="38" t="s">
        <v>1481</v>
      </c>
      <c r="G136" s="38" t="s">
        <v>1482</v>
      </c>
      <c r="H136" s="38" t="s">
        <v>1483</v>
      </c>
      <c r="I136" s="38" t="s">
        <v>1340</v>
      </c>
      <c r="J136" s="38" t="s">
        <v>1484</v>
      </c>
      <c r="K136" s="27" t="s">
        <v>1485</v>
      </c>
      <c r="L136" s="25" t="s">
        <v>56</v>
      </c>
      <c r="M136" s="25" t="s">
        <v>33</v>
      </c>
      <c r="N136" s="27" t="s">
        <v>56</v>
      </c>
      <c r="O136" s="27" t="s">
        <v>45</v>
      </c>
      <c r="P136" s="27" t="s">
        <v>31</v>
      </c>
      <c r="Q136" s="27" t="s">
        <v>56</v>
      </c>
      <c r="R136" s="11"/>
      <c r="S136" s="11"/>
      <c r="T136" s="11"/>
      <c r="U136" s="11"/>
      <c r="V136" s="11"/>
      <c r="W136" s="11"/>
      <c r="X136" s="11"/>
      <c r="Y136" s="11"/>
      <c r="Z136" s="11"/>
    </row>
    <row r="137" ht="39.0" customHeight="1">
      <c r="A137" s="41">
        <v>133.0</v>
      </c>
      <c r="B137" s="41" t="s">
        <v>1486</v>
      </c>
      <c r="C137" s="36" t="s">
        <v>1487</v>
      </c>
      <c r="D137" s="36" t="s">
        <v>217</v>
      </c>
      <c r="E137" s="36" t="s">
        <v>1488</v>
      </c>
      <c r="F137" s="36" t="s">
        <v>1489</v>
      </c>
      <c r="G137" s="36" t="s">
        <v>1490</v>
      </c>
      <c r="H137" s="36" t="s">
        <v>1491</v>
      </c>
      <c r="I137" s="36" t="s">
        <v>1492</v>
      </c>
      <c r="J137" s="36" t="s">
        <v>1493</v>
      </c>
      <c r="K137" s="29" t="s">
        <v>1494</v>
      </c>
      <c r="L137" s="28" t="s">
        <v>44</v>
      </c>
      <c r="M137" s="28" t="s">
        <v>33</v>
      </c>
      <c r="N137" s="29" t="s">
        <v>44</v>
      </c>
      <c r="O137" s="29" t="s">
        <v>32</v>
      </c>
      <c r="P137" s="29" t="s">
        <v>31</v>
      </c>
      <c r="Q137" s="29" t="s">
        <v>56</v>
      </c>
      <c r="R137" s="11"/>
      <c r="S137" s="11"/>
      <c r="T137" s="11"/>
      <c r="U137" s="11"/>
      <c r="V137" s="11"/>
      <c r="W137" s="11"/>
      <c r="X137" s="11"/>
      <c r="Y137" s="11"/>
      <c r="Z137" s="11"/>
    </row>
    <row r="138" ht="15.75" customHeight="1">
      <c r="A138" s="25">
        <v>134.0</v>
      </c>
      <c r="B138" s="25" t="s">
        <v>1495</v>
      </c>
      <c r="C138" s="27" t="s">
        <v>1496</v>
      </c>
      <c r="D138" s="27" t="s">
        <v>1316</v>
      </c>
      <c r="E138" s="27" t="s">
        <v>1497</v>
      </c>
      <c r="F138" s="27" t="s">
        <v>1498</v>
      </c>
      <c r="G138" s="27" t="s">
        <v>1499</v>
      </c>
      <c r="H138" s="27" t="s">
        <v>1500</v>
      </c>
      <c r="I138" s="27" t="s">
        <v>1501</v>
      </c>
      <c r="J138" s="27" t="s">
        <v>1502</v>
      </c>
      <c r="K138" s="27" t="s">
        <v>1503</v>
      </c>
      <c r="L138" s="25" t="s">
        <v>98</v>
      </c>
      <c r="M138" s="25" t="s">
        <v>31</v>
      </c>
      <c r="N138" s="27" t="s">
        <v>98</v>
      </c>
      <c r="O138" s="27" t="s">
        <v>45</v>
      </c>
      <c r="P138" s="27" t="s">
        <v>32</v>
      </c>
      <c r="Q138" s="27" t="s">
        <v>98</v>
      </c>
      <c r="R138" s="11"/>
      <c r="S138" s="11"/>
      <c r="T138" s="11"/>
      <c r="U138" s="11"/>
      <c r="V138" s="11"/>
      <c r="W138" s="11"/>
      <c r="X138" s="11"/>
      <c r="Y138" s="11"/>
      <c r="Z138" s="11"/>
    </row>
    <row r="139" ht="15.75" customHeight="1">
      <c r="A139" s="41">
        <v>135.0</v>
      </c>
      <c r="B139" s="41" t="s">
        <v>1504</v>
      </c>
      <c r="C139" s="36" t="s">
        <v>1505</v>
      </c>
      <c r="D139" s="36" t="s">
        <v>364</v>
      </c>
      <c r="E139" s="36" t="s">
        <v>1506</v>
      </c>
      <c r="F139" s="36" t="s">
        <v>1507</v>
      </c>
      <c r="G139" s="36" t="s">
        <v>1508</v>
      </c>
      <c r="H139" s="36" t="s">
        <v>1509</v>
      </c>
      <c r="I139" s="36" t="s">
        <v>1510</v>
      </c>
      <c r="J139" s="36" t="s">
        <v>1511</v>
      </c>
      <c r="K139" s="29" t="s">
        <v>1512</v>
      </c>
      <c r="L139" s="28" t="s">
        <v>67</v>
      </c>
      <c r="M139" s="28" t="s">
        <v>32</v>
      </c>
      <c r="N139" s="29" t="s">
        <v>67</v>
      </c>
      <c r="O139" s="29" t="s">
        <v>45</v>
      </c>
      <c r="P139" s="29" t="s">
        <v>31</v>
      </c>
      <c r="Q139" s="29" t="s">
        <v>67</v>
      </c>
      <c r="R139" s="11"/>
      <c r="S139" s="11"/>
      <c r="T139" s="11"/>
      <c r="U139" s="11"/>
      <c r="V139" s="11"/>
      <c r="W139" s="11"/>
      <c r="X139" s="11"/>
      <c r="Y139" s="11"/>
      <c r="Z139" s="11"/>
    </row>
    <row r="140" ht="15.75" customHeight="1">
      <c r="A140" s="42">
        <v>136.0</v>
      </c>
      <c r="B140" s="42" t="s">
        <v>1513</v>
      </c>
      <c r="C140" s="38" t="s">
        <v>1514</v>
      </c>
      <c r="D140" s="38" t="s">
        <v>364</v>
      </c>
      <c r="E140" s="38" t="s">
        <v>1515</v>
      </c>
      <c r="F140" s="38" t="s">
        <v>1516</v>
      </c>
      <c r="G140" s="38" t="s">
        <v>1517</v>
      </c>
      <c r="H140" s="38" t="s">
        <v>1518</v>
      </c>
      <c r="I140" s="38" t="s">
        <v>1519</v>
      </c>
      <c r="J140" s="38" t="s">
        <v>1520</v>
      </c>
      <c r="K140" s="27" t="s">
        <v>1521</v>
      </c>
      <c r="L140" s="25" t="s">
        <v>67</v>
      </c>
      <c r="M140" s="25" t="s">
        <v>32</v>
      </c>
      <c r="N140" s="27" t="s">
        <v>56</v>
      </c>
      <c r="O140" s="27" t="s">
        <v>45</v>
      </c>
      <c r="P140" s="27" t="s">
        <v>31</v>
      </c>
      <c r="Q140" s="27" t="s">
        <v>56</v>
      </c>
      <c r="R140" s="11"/>
      <c r="S140" s="11"/>
      <c r="T140" s="11"/>
      <c r="U140" s="11"/>
      <c r="V140" s="11"/>
      <c r="W140" s="11"/>
      <c r="X140" s="11"/>
      <c r="Y140" s="11"/>
      <c r="Z140" s="11"/>
    </row>
    <row r="141" ht="15.75" customHeight="1">
      <c r="A141" s="42">
        <v>137.0</v>
      </c>
      <c r="B141" s="42" t="s">
        <v>1525</v>
      </c>
      <c r="C141" s="38" t="s">
        <v>1526</v>
      </c>
      <c r="D141" s="38" t="s">
        <v>364</v>
      </c>
      <c r="E141" s="38" t="s">
        <v>1528</v>
      </c>
      <c r="F141" s="38" t="s">
        <v>1529</v>
      </c>
      <c r="G141" s="38" t="s">
        <v>1530</v>
      </c>
      <c r="H141" s="38" t="s">
        <v>1531</v>
      </c>
      <c r="I141" s="38" t="s">
        <v>1533</v>
      </c>
      <c r="J141" s="38" t="s">
        <v>1534</v>
      </c>
      <c r="K141" s="27" t="s">
        <v>1535</v>
      </c>
      <c r="L141" s="25" t="s">
        <v>44</v>
      </c>
      <c r="M141" s="25" t="s">
        <v>32</v>
      </c>
      <c r="N141" s="27" t="s">
        <v>44</v>
      </c>
      <c r="O141" s="27" t="s">
        <v>33</v>
      </c>
      <c r="P141" s="27" t="s">
        <v>31</v>
      </c>
      <c r="Q141" s="27" t="s">
        <v>44</v>
      </c>
      <c r="R141" s="11"/>
      <c r="S141" s="11"/>
      <c r="T141" s="11"/>
      <c r="U141" s="11"/>
      <c r="V141" s="11"/>
      <c r="W141" s="11"/>
      <c r="X141" s="11"/>
      <c r="Y141" s="11"/>
      <c r="Z141" s="11"/>
    </row>
    <row r="142" ht="15.75" customHeight="1">
      <c r="A142" s="25">
        <v>58.0</v>
      </c>
      <c r="B142" s="25" t="s">
        <v>1524</v>
      </c>
      <c r="C142" s="27" t="s">
        <v>1527</v>
      </c>
      <c r="D142" s="27" t="s">
        <v>90</v>
      </c>
      <c r="E142" s="27" t="s">
        <v>1532</v>
      </c>
      <c r="F142" s="27" t="s">
        <v>1536</v>
      </c>
      <c r="G142" s="27" t="s">
        <v>1537</v>
      </c>
      <c r="H142" s="27" t="s">
        <v>1538</v>
      </c>
      <c r="I142" s="27" t="s">
        <v>1539</v>
      </c>
      <c r="J142" s="27" t="s">
        <v>1540</v>
      </c>
      <c r="K142" s="27" t="s">
        <v>1541</v>
      </c>
      <c r="L142" s="25" t="s">
        <v>44</v>
      </c>
      <c r="M142" s="25" t="s">
        <v>31</v>
      </c>
      <c r="N142" s="27" t="s">
        <v>44</v>
      </c>
      <c r="O142" s="27" t="s">
        <v>32</v>
      </c>
      <c r="P142" s="27" t="s">
        <v>45</v>
      </c>
      <c r="Q142" s="27" t="s">
        <v>44</v>
      </c>
      <c r="R142" s="11" t="s">
        <v>32</v>
      </c>
      <c r="S142" s="11"/>
      <c r="T142" s="11"/>
      <c r="U142" s="11"/>
      <c r="V142" s="11"/>
      <c r="W142" s="11"/>
      <c r="X142" s="11"/>
      <c r="Y142" s="11"/>
      <c r="Z142" s="11"/>
    </row>
    <row r="143" ht="15.75" customHeight="1">
      <c r="A143" s="25">
        <v>139.0</v>
      </c>
      <c r="B143" s="25" t="s">
        <v>1546</v>
      </c>
      <c r="C143" s="27" t="s">
        <v>1547</v>
      </c>
      <c r="D143" s="27" t="s">
        <v>364</v>
      </c>
      <c r="E143" s="27" t="s">
        <v>1548</v>
      </c>
      <c r="F143" s="27" t="s">
        <v>1549</v>
      </c>
      <c r="G143" s="27" t="s">
        <v>1550</v>
      </c>
      <c r="H143" s="27" t="s">
        <v>1551</v>
      </c>
      <c r="I143" s="27" t="s">
        <v>1552</v>
      </c>
      <c r="J143" s="27" t="s">
        <v>1553</v>
      </c>
      <c r="K143" s="27" t="s">
        <v>1554</v>
      </c>
      <c r="L143" s="25" t="s">
        <v>67</v>
      </c>
      <c r="M143" s="25" t="s">
        <v>32</v>
      </c>
      <c r="N143" s="27" t="s">
        <v>67</v>
      </c>
      <c r="O143" s="27" t="s">
        <v>45</v>
      </c>
      <c r="P143" s="27" t="s">
        <v>33</v>
      </c>
      <c r="Q143" s="27"/>
      <c r="R143" s="11"/>
      <c r="S143" s="11"/>
      <c r="T143" s="11"/>
      <c r="U143" s="11"/>
      <c r="V143" s="11"/>
      <c r="W143" s="11"/>
      <c r="X143" s="11"/>
      <c r="Y143" s="11"/>
      <c r="Z143" s="11"/>
    </row>
    <row r="144" ht="15.75" customHeight="1">
      <c r="A144" s="41">
        <v>140.0</v>
      </c>
      <c r="B144" s="41" t="s">
        <v>1562</v>
      </c>
      <c r="C144" s="36" t="s">
        <v>1563</v>
      </c>
      <c r="D144" s="36" t="s">
        <v>364</v>
      </c>
      <c r="E144" s="36" t="s">
        <v>1565</v>
      </c>
      <c r="F144" s="36" t="s">
        <v>1567</v>
      </c>
      <c r="G144" s="36" t="s">
        <v>1568</v>
      </c>
      <c r="H144" s="36" t="s">
        <v>1569</v>
      </c>
      <c r="I144" s="36" t="s">
        <v>1570</v>
      </c>
      <c r="J144" s="36" t="s">
        <v>1571</v>
      </c>
      <c r="K144" s="29" t="s">
        <v>1572</v>
      </c>
      <c r="L144" s="28" t="s">
        <v>67</v>
      </c>
      <c r="M144" s="28" t="s">
        <v>32</v>
      </c>
      <c r="N144" s="29" t="s">
        <v>44</v>
      </c>
      <c r="O144" s="29" t="s">
        <v>45</v>
      </c>
      <c r="P144" s="29" t="s">
        <v>31</v>
      </c>
      <c r="Q144" s="29" t="s">
        <v>44</v>
      </c>
      <c r="R144" s="11"/>
      <c r="S144" s="11"/>
      <c r="T144" s="11"/>
      <c r="U144" s="11"/>
      <c r="V144" s="11"/>
      <c r="W144" s="11"/>
      <c r="X144" s="11"/>
      <c r="Y144" s="11"/>
      <c r="Z144" s="11"/>
    </row>
    <row r="145" ht="15.75" customHeight="1">
      <c r="A145" s="25">
        <v>141.0</v>
      </c>
      <c r="B145" s="25" t="s">
        <v>1573</v>
      </c>
      <c r="C145" s="27" t="s">
        <v>1574</v>
      </c>
      <c r="D145" s="27" t="s">
        <v>364</v>
      </c>
      <c r="E145" s="26" t="s">
        <v>1575</v>
      </c>
      <c r="F145" s="26" t="s">
        <v>1576</v>
      </c>
      <c r="G145" s="26" t="s">
        <v>1577</v>
      </c>
      <c r="H145" s="26" t="s">
        <v>1578</v>
      </c>
      <c r="I145" s="26" t="s">
        <v>1579</v>
      </c>
      <c r="J145" s="26" t="s">
        <v>1580</v>
      </c>
      <c r="K145" s="26" t="s">
        <v>1581</v>
      </c>
      <c r="L145" s="25" t="s">
        <v>44</v>
      </c>
      <c r="M145" s="25" t="s">
        <v>32</v>
      </c>
      <c r="N145" s="27" t="s">
        <v>44</v>
      </c>
      <c r="O145" s="27" t="s">
        <v>45</v>
      </c>
      <c r="P145" s="27" t="s">
        <v>33</v>
      </c>
      <c r="Q145" s="27" t="s">
        <v>44</v>
      </c>
      <c r="R145" s="11"/>
      <c r="S145" s="11"/>
      <c r="T145" s="11"/>
      <c r="U145" s="11"/>
      <c r="V145" s="11"/>
      <c r="W145" s="11"/>
      <c r="X145" s="11"/>
      <c r="Y145" s="11"/>
      <c r="Z145" s="11"/>
    </row>
    <row r="146" ht="15.75" customHeight="1">
      <c r="A146" s="41">
        <v>142.0</v>
      </c>
      <c r="B146" s="41" t="s">
        <v>1584</v>
      </c>
      <c r="C146" s="31" t="s">
        <v>1585</v>
      </c>
      <c r="D146" s="36" t="s">
        <v>364</v>
      </c>
      <c r="E146" s="31" t="s">
        <v>1586</v>
      </c>
      <c r="F146" s="31" t="s">
        <v>1587</v>
      </c>
      <c r="G146" s="31" t="s">
        <v>1588</v>
      </c>
      <c r="H146" s="31" t="s">
        <v>1589</v>
      </c>
      <c r="I146" s="31" t="s">
        <v>1590</v>
      </c>
      <c r="J146" s="31" t="s">
        <v>1591</v>
      </c>
      <c r="K146" s="30" t="s">
        <v>1592</v>
      </c>
      <c r="L146" s="28" t="s">
        <v>44</v>
      </c>
      <c r="M146" s="28" t="s">
        <v>32</v>
      </c>
      <c r="N146" s="29" t="s">
        <v>44</v>
      </c>
      <c r="O146" s="29" t="s">
        <v>45</v>
      </c>
      <c r="P146" s="29" t="s">
        <v>31</v>
      </c>
      <c r="Q146" s="29" t="s">
        <v>44</v>
      </c>
      <c r="R146" s="11"/>
      <c r="S146" s="11"/>
      <c r="T146" s="11"/>
      <c r="U146" s="11"/>
      <c r="V146" s="11"/>
      <c r="W146" s="11"/>
      <c r="X146" s="11"/>
      <c r="Y146" s="11"/>
      <c r="Z146" s="11"/>
    </row>
    <row r="147" ht="15.75" customHeight="1">
      <c r="A147" s="28">
        <v>70.0</v>
      </c>
      <c r="B147" s="28" t="s">
        <v>1593</v>
      </c>
      <c r="C147" s="29" t="s">
        <v>976</v>
      </c>
      <c r="D147" s="29" t="s">
        <v>207</v>
      </c>
      <c r="E147" s="29" t="s">
        <v>1594</v>
      </c>
      <c r="F147" s="29" t="s">
        <v>1595</v>
      </c>
      <c r="G147" s="29" t="s">
        <v>1596</v>
      </c>
      <c r="H147" s="29" t="s">
        <v>1597</v>
      </c>
      <c r="I147" s="29" t="s">
        <v>1598</v>
      </c>
      <c r="J147" s="29" t="s">
        <v>1599</v>
      </c>
      <c r="K147" s="29" t="s">
        <v>1600</v>
      </c>
      <c r="L147" s="28" t="s">
        <v>44</v>
      </c>
      <c r="M147" s="28" t="s">
        <v>31</v>
      </c>
      <c r="N147" s="29" t="s">
        <v>67</v>
      </c>
      <c r="O147" s="29" t="s">
        <v>32</v>
      </c>
      <c r="P147" s="29" t="s">
        <v>45</v>
      </c>
      <c r="Q147" s="29" t="s">
        <v>56</v>
      </c>
      <c r="R147" s="11"/>
      <c r="S147" s="11"/>
      <c r="T147" s="11"/>
      <c r="U147" s="11"/>
      <c r="V147" s="11"/>
      <c r="W147" s="11"/>
      <c r="X147" s="11"/>
      <c r="Y147" s="11"/>
      <c r="Z147" s="11"/>
    </row>
    <row r="148" ht="15.75" customHeight="1">
      <c r="A148" s="28">
        <v>74.0</v>
      </c>
      <c r="B148" s="28" t="s">
        <v>1601</v>
      </c>
      <c r="C148" s="29" t="s">
        <v>1602</v>
      </c>
      <c r="D148" s="29" t="s">
        <v>207</v>
      </c>
      <c r="E148" s="29" t="s">
        <v>1604</v>
      </c>
      <c r="F148" s="29" t="s">
        <v>1605</v>
      </c>
      <c r="G148" s="29" t="s">
        <v>1606</v>
      </c>
      <c r="H148" s="29" t="s">
        <v>1607</v>
      </c>
      <c r="I148" s="29" t="s">
        <v>1608</v>
      </c>
      <c r="J148" s="29" t="s">
        <v>1609</v>
      </c>
      <c r="K148" s="29" t="s">
        <v>1610</v>
      </c>
      <c r="L148" s="28" t="s">
        <v>56</v>
      </c>
      <c r="M148" s="28" t="s">
        <v>31</v>
      </c>
      <c r="N148" s="29" t="s">
        <v>56</v>
      </c>
      <c r="O148" s="29" t="s">
        <v>32</v>
      </c>
      <c r="P148" s="29" t="s">
        <v>45</v>
      </c>
      <c r="Q148" s="29" t="s">
        <v>56</v>
      </c>
      <c r="R148" s="11" t="s">
        <v>32</v>
      </c>
      <c r="S148" s="11"/>
      <c r="T148" s="11"/>
      <c r="U148" s="11"/>
      <c r="V148" s="11"/>
      <c r="W148" s="11"/>
      <c r="X148" s="11"/>
      <c r="Y148" s="11"/>
      <c r="Z148" s="11"/>
    </row>
    <row r="149" ht="15.75" customHeight="1">
      <c r="A149" s="25">
        <v>145.0</v>
      </c>
      <c r="B149" s="25" t="s">
        <v>1613</v>
      </c>
      <c r="C149" s="26" t="s">
        <v>1614</v>
      </c>
      <c r="D149" s="27" t="s">
        <v>364</v>
      </c>
      <c r="E149" s="26" t="s">
        <v>1616</v>
      </c>
      <c r="F149" s="26" t="s">
        <v>1617</v>
      </c>
      <c r="G149" s="26" t="s">
        <v>1618</v>
      </c>
      <c r="H149" s="26" t="s">
        <v>1619</v>
      </c>
      <c r="I149" s="26" t="s">
        <v>1620</v>
      </c>
      <c r="J149" s="26" t="s">
        <v>1621</v>
      </c>
      <c r="K149" s="26" t="s">
        <v>1622</v>
      </c>
      <c r="L149" s="25" t="s">
        <v>67</v>
      </c>
      <c r="M149" s="25" t="s">
        <v>32</v>
      </c>
      <c r="N149" s="27" t="s">
        <v>67</v>
      </c>
      <c r="O149" s="27" t="s">
        <v>45</v>
      </c>
      <c r="P149" s="27" t="s">
        <v>33</v>
      </c>
      <c r="Q149" s="27"/>
      <c r="R149" s="11"/>
      <c r="S149" s="11"/>
      <c r="T149" s="11"/>
      <c r="U149" s="11"/>
      <c r="V149" s="11"/>
      <c r="W149" s="11"/>
      <c r="X149" s="11"/>
      <c r="Y149" s="11"/>
      <c r="Z149" s="11"/>
    </row>
    <row r="150" ht="15.75" customHeight="1">
      <c r="A150" s="41">
        <v>146.0</v>
      </c>
      <c r="B150" s="41" t="s">
        <v>1623</v>
      </c>
      <c r="C150" s="31" t="s">
        <v>1624</v>
      </c>
      <c r="D150" s="36" t="s">
        <v>364</v>
      </c>
      <c r="E150" s="31" t="s">
        <v>1625</v>
      </c>
      <c r="F150" s="31" t="s">
        <v>1626</v>
      </c>
      <c r="G150" s="31" t="s">
        <v>1627</v>
      </c>
      <c r="H150" s="31" t="s">
        <v>1628</v>
      </c>
      <c r="I150" s="31" t="s">
        <v>1629</v>
      </c>
      <c r="J150" s="31" t="s">
        <v>1630</v>
      </c>
      <c r="K150" s="30" t="s">
        <v>1631</v>
      </c>
      <c r="L150" s="28" t="s">
        <v>44</v>
      </c>
      <c r="M150" s="28" t="s">
        <v>32</v>
      </c>
      <c r="N150" s="29" t="s">
        <v>44</v>
      </c>
      <c r="O150" s="29" t="s">
        <v>45</v>
      </c>
      <c r="P150" s="29" t="s">
        <v>31</v>
      </c>
      <c r="Q150" s="29" t="s">
        <v>44</v>
      </c>
      <c r="R150" s="11" t="s">
        <v>32</v>
      </c>
      <c r="S150" s="11"/>
      <c r="T150" s="11"/>
      <c r="U150" s="11"/>
      <c r="V150" s="11"/>
      <c r="W150" s="11"/>
      <c r="X150" s="11"/>
      <c r="Y150" s="11"/>
      <c r="Z150" s="11"/>
    </row>
    <row r="151" ht="15.75" customHeight="1">
      <c r="A151" s="28">
        <v>147.0</v>
      </c>
      <c r="B151" s="28" t="s">
        <v>1632</v>
      </c>
      <c r="C151" s="30" t="s">
        <v>1633</v>
      </c>
      <c r="D151" s="29" t="s">
        <v>364</v>
      </c>
      <c r="E151" s="30" t="s">
        <v>1634</v>
      </c>
      <c r="F151" s="30" t="s">
        <v>1635</v>
      </c>
      <c r="G151" s="30" t="s">
        <v>1636</v>
      </c>
      <c r="H151" s="30" t="s">
        <v>1637</v>
      </c>
      <c r="I151" s="30" t="s">
        <v>1638</v>
      </c>
      <c r="J151" s="30" t="s">
        <v>1639</v>
      </c>
      <c r="K151" s="30" t="s">
        <v>1640</v>
      </c>
      <c r="L151" s="28" t="s">
        <v>56</v>
      </c>
      <c r="M151" s="28" t="s">
        <v>32</v>
      </c>
      <c r="N151" s="29" t="s">
        <v>56</v>
      </c>
      <c r="O151" s="29" t="s">
        <v>45</v>
      </c>
      <c r="P151" s="29" t="s">
        <v>33</v>
      </c>
      <c r="Q151" s="29"/>
      <c r="R151" s="11"/>
      <c r="S151" s="11"/>
      <c r="T151" s="11"/>
      <c r="U151" s="11"/>
      <c r="V151" s="11"/>
      <c r="W151" s="11"/>
      <c r="X151" s="11"/>
      <c r="Y151" s="11"/>
      <c r="Z151" s="11"/>
    </row>
    <row r="152" ht="15.75" customHeight="1">
      <c r="A152" s="28">
        <v>80.0</v>
      </c>
      <c r="B152" s="28" t="s">
        <v>1642</v>
      </c>
      <c r="C152" s="29" t="s">
        <v>1040</v>
      </c>
      <c r="D152" s="29" t="s">
        <v>128</v>
      </c>
      <c r="E152" s="29" t="s">
        <v>1644</v>
      </c>
      <c r="F152" s="29" t="s">
        <v>1645</v>
      </c>
      <c r="G152" s="29" t="s">
        <v>1646</v>
      </c>
      <c r="H152" s="29" t="s">
        <v>1647</v>
      </c>
      <c r="I152" s="29" t="s">
        <v>1648</v>
      </c>
      <c r="J152" s="29" t="s">
        <v>1649</v>
      </c>
      <c r="K152" s="29" t="s">
        <v>1650</v>
      </c>
      <c r="L152" s="28" t="s">
        <v>30</v>
      </c>
      <c r="M152" s="28" t="s">
        <v>31</v>
      </c>
      <c r="N152" s="29" t="s">
        <v>30</v>
      </c>
      <c r="O152" s="29" t="s">
        <v>32</v>
      </c>
      <c r="P152" s="29" t="s">
        <v>45</v>
      </c>
      <c r="Q152" s="29" t="s">
        <v>30</v>
      </c>
      <c r="R152" s="11"/>
      <c r="S152" s="11"/>
      <c r="T152" s="11"/>
      <c r="U152" s="11"/>
      <c r="V152" s="11"/>
      <c r="W152" s="11"/>
      <c r="X152" s="11"/>
      <c r="Y152" s="11"/>
      <c r="Z152" s="11"/>
    </row>
    <row r="153" ht="15.75" customHeight="1">
      <c r="A153" s="41">
        <v>149.0</v>
      </c>
      <c r="B153" s="41" t="s">
        <v>1651</v>
      </c>
      <c r="C153" s="31" t="s">
        <v>450</v>
      </c>
      <c r="D153" s="36" t="s">
        <v>364</v>
      </c>
      <c r="E153" s="31" t="s">
        <v>1652</v>
      </c>
      <c r="F153" s="31" t="s">
        <v>1653</v>
      </c>
      <c r="G153" s="31" t="s">
        <v>1654</v>
      </c>
      <c r="H153" s="31" t="s">
        <v>1655</v>
      </c>
      <c r="I153" s="31" t="s">
        <v>1656</v>
      </c>
      <c r="J153" s="31" t="s">
        <v>1657</v>
      </c>
      <c r="K153" s="30" t="s">
        <v>1658</v>
      </c>
      <c r="L153" s="28" t="s">
        <v>67</v>
      </c>
      <c r="M153" s="28" t="s">
        <v>32</v>
      </c>
      <c r="N153" s="29" t="s">
        <v>67</v>
      </c>
      <c r="O153" s="29" t="s">
        <v>33</v>
      </c>
      <c r="P153" s="29" t="s">
        <v>31</v>
      </c>
      <c r="Q153" s="29" t="s">
        <v>67</v>
      </c>
      <c r="R153" s="11"/>
      <c r="S153" s="11"/>
      <c r="T153" s="11"/>
      <c r="U153" s="11"/>
      <c r="V153" s="11"/>
      <c r="W153" s="11"/>
      <c r="X153" s="11"/>
      <c r="Y153" s="11"/>
      <c r="Z153" s="11"/>
    </row>
    <row r="154" ht="15.75" customHeight="1">
      <c r="A154" s="28">
        <v>84.0</v>
      </c>
      <c r="B154" s="28" t="s">
        <v>1659</v>
      </c>
      <c r="C154" s="29" t="s">
        <v>1660</v>
      </c>
      <c r="D154" s="29" t="s">
        <v>128</v>
      </c>
      <c r="E154" s="29" t="s">
        <v>1661</v>
      </c>
      <c r="F154" s="29" t="s">
        <v>1662</v>
      </c>
      <c r="G154" s="29" t="s">
        <v>1663</v>
      </c>
      <c r="H154" s="29" t="s">
        <v>1664</v>
      </c>
      <c r="I154" s="29" t="s">
        <v>1665</v>
      </c>
      <c r="J154" s="29" t="s">
        <v>1666</v>
      </c>
      <c r="K154" s="29" t="s">
        <v>1667</v>
      </c>
      <c r="L154" s="28" t="s">
        <v>30</v>
      </c>
      <c r="M154" s="28" t="s">
        <v>31</v>
      </c>
      <c r="N154" s="29" t="s">
        <v>30</v>
      </c>
      <c r="O154" s="29" t="s">
        <v>32</v>
      </c>
      <c r="P154" s="29" t="s">
        <v>45</v>
      </c>
      <c r="Q154" s="29" t="s">
        <v>30</v>
      </c>
      <c r="R154" s="11" t="s">
        <v>32</v>
      </c>
      <c r="S154" s="11"/>
      <c r="T154" s="11"/>
      <c r="U154" s="11"/>
      <c r="V154" s="11"/>
      <c r="W154" s="11"/>
      <c r="X154" s="11"/>
      <c r="Y154" s="11"/>
      <c r="Z154" s="11"/>
    </row>
    <row r="155" ht="15.75" customHeight="1">
      <c r="A155" s="28">
        <v>151.0</v>
      </c>
      <c r="B155" s="28" t="s">
        <v>1672</v>
      </c>
      <c r="C155" s="30" t="s">
        <v>441</v>
      </c>
      <c r="D155" s="29" t="s">
        <v>364</v>
      </c>
      <c r="E155" s="30" t="s">
        <v>1673</v>
      </c>
      <c r="F155" s="30" t="s">
        <v>1674</v>
      </c>
      <c r="G155" s="30" t="s">
        <v>1675</v>
      </c>
      <c r="H155" s="30" t="s">
        <v>1676</v>
      </c>
      <c r="I155" s="30" t="s">
        <v>1677</v>
      </c>
      <c r="J155" s="30" t="s">
        <v>1678</v>
      </c>
      <c r="K155" s="30" t="s">
        <v>1679</v>
      </c>
      <c r="L155" s="28" t="s">
        <v>44</v>
      </c>
      <c r="M155" s="28" t="s">
        <v>32</v>
      </c>
      <c r="N155" s="29" t="s">
        <v>44</v>
      </c>
      <c r="O155" s="29" t="s">
        <v>45</v>
      </c>
      <c r="P155" s="29" t="s">
        <v>33</v>
      </c>
      <c r="Q155" s="29"/>
      <c r="R155" s="11"/>
      <c r="S155" s="11"/>
      <c r="T155" s="11"/>
      <c r="U155" s="11"/>
      <c r="V155" s="11"/>
      <c r="W155" s="11"/>
      <c r="X155" s="11"/>
      <c r="Y155" s="11"/>
      <c r="Z155" s="11"/>
    </row>
    <row r="156" ht="15.75" customHeight="1">
      <c r="A156" s="42">
        <v>152.0</v>
      </c>
      <c r="B156" s="42" t="s">
        <v>1680</v>
      </c>
      <c r="C156" s="39" t="s">
        <v>1681</v>
      </c>
      <c r="D156" s="38" t="s">
        <v>364</v>
      </c>
      <c r="E156" s="39" t="s">
        <v>1682</v>
      </c>
      <c r="F156" s="39" t="s">
        <v>1683</v>
      </c>
      <c r="G156" s="39" t="s">
        <v>1684</v>
      </c>
      <c r="H156" s="39" t="s">
        <v>1685</v>
      </c>
      <c r="I156" s="39" t="s">
        <v>1686</v>
      </c>
      <c r="J156" s="39" t="s">
        <v>1687</v>
      </c>
      <c r="K156" s="26" t="s">
        <v>1688</v>
      </c>
      <c r="L156" s="25" t="s">
        <v>67</v>
      </c>
      <c r="M156" s="25" t="s">
        <v>32</v>
      </c>
      <c r="N156" s="27" t="s">
        <v>67</v>
      </c>
      <c r="O156" s="27" t="s">
        <v>45</v>
      </c>
      <c r="P156" s="27" t="s">
        <v>31</v>
      </c>
      <c r="Q156" s="27" t="s">
        <v>67</v>
      </c>
      <c r="R156" s="11"/>
      <c r="S156" s="11"/>
      <c r="T156" s="11"/>
      <c r="U156" s="11"/>
      <c r="V156" s="11"/>
      <c r="W156" s="11"/>
      <c r="X156" s="11"/>
      <c r="Y156" s="11"/>
      <c r="Z156" s="11"/>
    </row>
    <row r="157" ht="15.75" customHeight="1">
      <c r="A157" s="25">
        <v>88.0</v>
      </c>
      <c r="B157" s="25" t="s">
        <v>1689</v>
      </c>
      <c r="C157" s="27" t="s">
        <v>1690</v>
      </c>
      <c r="D157" s="27" t="s">
        <v>306</v>
      </c>
      <c r="E157" s="27" t="s">
        <v>1691</v>
      </c>
      <c r="F157" s="27" t="s">
        <v>1692</v>
      </c>
      <c r="G157" s="27" t="s">
        <v>1693</v>
      </c>
      <c r="H157" s="27" t="s">
        <v>1694</v>
      </c>
      <c r="I157" s="27" t="s">
        <v>1695</v>
      </c>
      <c r="J157" s="27" t="s">
        <v>1696</v>
      </c>
      <c r="K157" s="27" t="s">
        <v>1698</v>
      </c>
      <c r="L157" s="25" t="s">
        <v>56</v>
      </c>
      <c r="M157" s="25" t="s">
        <v>31</v>
      </c>
      <c r="N157" s="27" t="s">
        <v>56</v>
      </c>
      <c r="O157" s="27" t="s">
        <v>32</v>
      </c>
      <c r="P157" s="27" t="s">
        <v>45</v>
      </c>
      <c r="Q157" s="29" t="s">
        <v>56</v>
      </c>
      <c r="R157" s="11"/>
      <c r="S157" s="11"/>
      <c r="T157" s="11"/>
      <c r="U157" s="11"/>
      <c r="V157" s="11"/>
      <c r="W157" s="11"/>
      <c r="X157" s="11"/>
      <c r="Y157" s="11"/>
      <c r="Z157" s="11"/>
    </row>
    <row r="158" ht="15.75" customHeight="1">
      <c r="A158" s="42">
        <v>154.0</v>
      </c>
      <c r="B158" s="42" t="s">
        <v>1700</v>
      </c>
      <c r="C158" s="39" t="s">
        <v>441</v>
      </c>
      <c r="D158" s="38" t="s">
        <v>364</v>
      </c>
      <c r="E158" s="39" t="s">
        <v>1701</v>
      </c>
      <c r="F158" s="39" t="s">
        <v>1702</v>
      </c>
      <c r="G158" s="39" t="s">
        <v>1703</v>
      </c>
      <c r="H158" s="39" t="s">
        <v>1704</v>
      </c>
      <c r="I158" s="39" t="s">
        <v>1705</v>
      </c>
      <c r="J158" s="39" t="s">
        <v>1706</v>
      </c>
      <c r="K158" s="26" t="s">
        <v>1707</v>
      </c>
      <c r="L158" s="25" t="s">
        <v>44</v>
      </c>
      <c r="M158" s="25" t="s">
        <v>32</v>
      </c>
      <c r="N158" s="27" t="s">
        <v>44</v>
      </c>
      <c r="O158" s="27" t="s">
        <v>33</v>
      </c>
      <c r="P158" s="27" t="s">
        <v>31</v>
      </c>
      <c r="Q158" s="27" t="s">
        <v>44</v>
      </c>
      <c r="R158" s="11"/>
      <c r="S158" s="11"/>
      <c r="T158" s="11"/>
      <c r="U158" s="11"/>
      <c r="V158" s="11"/>
      <c r="W158" s="11"/>
      <c r="X158" s="11"/>
      <c r="Y158" s="11"/>
      <c r="Z158" s="11"/>
    </row>
    <row r="159" ht="15.75" customHeight="1">
      <c r="A159" s="28">
        <v>155.0</v>
      </c>
      <c r="B159" s="28" t="s">
        <v>1708</v>
      </c>
      <c r="C159" s="30" t="s">
        <v>1709</v>
      </c>
      <c r="D159" s="29" t="s">
        <v>364</v>
      </c>
      <c r="E159" s="30" t="s">
        <v>1710</v>
      </c>
      <c r="F159" s="30" t="s">
        <v>1711</v>
      </c>
      <c r="G159" s="30" t="s">
        <v>1712</v>
      </c>
      <c r="H159" s="30" t="s">
        <v>1713</v>
      </c>
      <c r="I159" s="30" t="s">
        <v>1714</v>
      </c>
      <c r="J159" s="30" t="s">
        <v>1715</v>
      </c>
      <c r="K159" s="30" t="s">
        <v>1716</v>
      </c>
      <c r="L159" s="28" t="s">
        <v>67</v>
      </c>
      <c r="M159" s="28" t="s">
        <v>32</v>
      </c>
      <c r="N159" s="29" t="s">
        <v>67</v>
      </c>
      <c r="O159" s="29" t="s">
        <v>45</v>
      </c>
      <c r="P159" s="29" t="s">
        <v>33</v>
      </c>
      <c r="Q159" s="29" t="s">
        <v>67</v>
      </c>
      <c r="R159" s="11"/>
      <c r="S159" s="11"/>
      <c r="T159" s="11"/>
      <c r="U159" s="11"/>
      <c r="V159" s="11"/>
      <c r="W159" s="11"/>
      <c r="X159" s="11"/>
      <c r="Y159" s="11"/>
      <c r="Z159" s="11"/>
    </row>
    <row r="160" ht="15.75" customHeight="1">
      <c r="A160" s="28">
        <v>93.0</v>
      </c>
      <c r="B160" s="28" t="s">
        <v>1721</v>
      </c>
      <c r="C160" s="29" t="s">
        <v>1722</v>
      </c>
      <c r="D160" s="29" t="s">
        <v>1723</v>
      </c>
      <c r="E160" s="29" t="s">
        <v>1724</v>
      </c>
      <c r="F160" s="29" t="s">
        <v>1725</v>
      </c>
      <c r="G160" s="29" t="s">
        <v>1726</v>
      </c>
      <c r="H160" s="29" t="s">
        <v>1727</v>
      </c>
      <c r="I160" s="29" t="s">
        <v>1728</v>
      </c>
      <c r="J160" s="29" t="s">
        <v>1729</v>
      </c>
      <c r="K160" s="29" t="s">
        <v>1730</v>
      </c>
      <c r="L160" s="28" t="s">
        <v>56</v>
      </c>
      <c r="M160" s="28" t="s">
        <v>31</v>
      </c>
      <c r="N160" s="29" t="s">
        <v>56</v>
      </c>
      <c r="O160" s="29" t="s">
        <v>32</v>
      </c>
      <c r="P160" s="29" t="s">
        <v>45</v>
      </c>
      <c r="Q160" s="29" t="s">
        <v>56</v>
      </c>
      <c r="R160" s="11" t="s">
        <v>32</v>
      </c>
      <c r="S160" s="11"/>
      <c r="T160" s="11"/>
      <c r="U160" s="11"/>
      <c r="V160" s="11"/>
      <c r="W160" s="11"/>
      <c r="X160" s="11"/>
      <c r="Y160" s="11"/>
      <c r="Z160" s="11"/>
    </row>
    <row r="161" ht="15.75" customHeight="1">
      <c r="A161" s="28">
        <v>157.0</v>
      </c>
      <c r="B161" s="28" t="s">
        <v>1731</v>
      </c>
      <c r="C161" s="30" t="s">
        <v>450</v>
      </c>
      <c r="D161" s="29" t="s">
        <v>364</v>
      </c>
      <c r="E161" s="30" t="s">
        <v>1732</v>
      </c>
      <c r="F161" s="30" t="s">
        <v>1733</v>
      </c>
      <c r="G161" s="30" t="s">
        <v>1734</v>
      </c>
      <c r="H161" s="30" t="s">
        <v>1735</v>
      </c>
      <c r="I161" s="30" t="s">
        <v>1736</v>
      </c>
      <c r="J161" s="30" t="s">
        <v>1737</v>
      </c>
      <c r="K161" s="30" t="s">
        <v>1738</v>
      </c>
      <c r="L161" s="28" t="s">
        <v>44</v>
      </c>
      <c r="M161" s="28" t="s">
        <v>32</v>
      </c>
      <c r="N161" s="29" t="s">
        <v>44</v>
      </c>
      <c r="O161" s="29" t="s">
        <v>45</v>
      </c>
      <c r="P161" s="29" t="s">
        <v>33</v>
      </c>
      <c r="Q161" s="29"/>
      <c r="R161" s="11"/>
      <c r="S161" s="11"/>
      <c r="T161" s="11"/>
      <c r="U161" s="11"/>
      <c r="V161" s="11"/>
      <c r="W161" s="11"/>
      <c r="X161" s="11"/>
      <c r="Y161" s="11"/>
      <c r="Z161" s="11"/>
    </row>
    <row r="162" ht="15.75" customHeight="1">
      <c r="A162" s="25">
        <v>158.0</v>
      </c>
      <c r="B162" s="25" t="s">
        <v>1739</v>
      </c>
      <c r="C162" s="27" t="s">
        <v>1740</v>
      </c>
      <c r="D162" s="27" t="s">
        <v>1741</v>
      </c>
      <c r="E162" s="27" t="s">
        <v>1742</v>
      </c>
      <c r="F162" s="27" t="s">
        <v>1743</v>
      </c>
      <c r="G162" s="27" t="s">
        <v>1744</v>
      </c>
      <c r="H162" s="27" t="s">
        <v>1745</v>
      </c>
      <c r="I162" s="27" t="s">
        <v>1746</v>
      </c>
      <c r="J162" s="27" t="s">
        <v>1747</v>
      </c>
      <c r="K162" s="27" t="s">
        <v>1749</v>
      </c>
      <c r="L162" s="25" t="s">
        <v>98</v>
      </c>
      <c r="M162" s="25" t="s">
        <v>45</v>
      </c>
      <c r="N162" s="27" t="s">
        <v>98</v>
      </c>
      <c r="O162" s="27" t="s">
        <v>33</v>
      </c>
      <c r="P162" s="27" t="s">
        <v>32</v>
      </c>
      <c r="Q162" s="27" t="s">
        <v>98</v>
      </c>
      <c r="R162" s="11"/>
      <c r="S162" s="11"/>
      <c r="T162" s="11"/>
      <c r="U162" s="11"/>
      <c r="V162" s="11"/>
      <c r="W162" s="11"/>
      <c r="X162" s="11"/>
      <c r="Y162" s="11"/>
      <c r="Z162" s="11"/>
    </row>
    <row r="163" ht="15.75" customHeight="1">
      <c r="A163" s="28">
        <v>159.0</v>
      </c>
      <c r="B163" s="28" t="s">
        <v>1751</v>
      </c>
      <c r="C163" s="29" t="s">
        <v>1740</v>
      </c>
      <c r="D163" s="29" t="s">
        <v>1741</v>
      </c>
      <c r="E163" s="29" t="s">
        <v>1752</v>
      </c>
      <c r="F163" s="29" t="s">
        <v>1753</v>
      </c>
      <c r="G163" s="29" t="s">
        <v>1754</v>
      </c>
      <c r="H163" s="29" t="s">
        <v>1755</v>
      </c>
      <c r="I163" s="29" t="s">
        <v>1756</v>
      </c>
      <c r="J163" s="29" t="s">
        <v>1757</v>
      </c>
      <c r="K163" s="29" t="s">
        <v>1758</v>
      </c>
      <c r="L163" s="28" t="s">
        <v>98</v>
      </c>
      <c r="M163" s="28" t="s">
        <v>45</v>
      </c>
      <c r="N163" s="29" t="s">
        <v>98</v>
      </c>
      <c r="O163" s="29" t="s">
        <v>33</v>
      </c>
      <c r="P163" s="29" t="s">
        <v>32</v>
      </c>
      <c r="Q163" s="29" t="s">
        <v>98</v>
      </c>
      <c r="R163" s="11"/>
      <c r="S163" s="11"/>
      <c r="T163" s="11"/>
      <c r="U163" s="11"/>
      <c r="V163" s="11"/>
      <c r="W163" s="11"/>
      <c r="X163" s="11"/>
      <c r="Y163" s="11"/>
      <c r="Z163" s="11"/>
    </row>
    <row r="164" ht="15.75" customHeight="1">
      <c r="A164" s="25">
        <v>160.0</v>
      </c>
      <c r="B164" s="25" t="s">
        <v>1759</v>
      </c>
      <c r="C164" s="27" t="s">
        <v>1740</v>
      </c>
      <c r="D164" s="27" t="s">
        <v>1760</v>
      </c>
      <c r="E164" s="27" t="s">
        <v>1761</v>
      </c>
      <c r="F164" s="27" t="s">
        <v>1762</v>
      </c>
      <c r="G164" s="27" t="s">
        <v>1763</v>
      </c>
      <c r="H164" s="27" t="s">
        <v>1764</v>
      </c>
      <c r="I164" s="27" t="s">
        <v>1765</v>
      </c>
      <c r="J164" s="27" t="s">
        <v>1766</v>
      </c>
      <c r="K164" s="27" t="s">
        <v>1767</v>
      </c>
      <c r="L164" s="25" t="s">
        <v>98</v>
      </c>
      <c r="M164" s="25" t="s">
        <v>45</v>
      </c>
      <c r="N164" s="27" t="s">
        <v>98</v>
      </c>
      <c r="O164" s="27" t="s">
        <v>33</v>
      </c>
      <c r="P164" s="27" t="s">
        <v>32</v>
      </c>
      <c r="Q164" s="27" t="s">
        <v>98</v>
      </c>
      <c r="R164" s="11"/>
      <c r="S164" s="11"/>
      <c r="T164" s="11"/>
      <c r="U164" s="11"/>
      <c r="V164" s="11"/>
      <c r="W164" s="11"/>
      <c r="X164" s="11"/>
      <c r="Y164" s="11"/>
      <c r="Z164" s="11"/>
    </row>
    <row r="165" ht="15.75" customHeight="1">
      <c r="A165" s="41">
        <v>161.0</v>
      </c>
      <c r="B165" s="41" t="s">
        <v>1768</v>
      </c>
      <c r="C165" s="36" t="s">
        <v>1740</v>
      </c>
      <c r="D165" s="36" t="s">
        <v>1769</v>
      </c>
      <c r="E165" s="36" t="s">
        <v>1770</v>
      </c>
      <c r="F165" s="36" t="s">
        <v>1771</v>
      </c>
      <c r="G165" s="36" t="s">
        <v>1754</v>
      </c>
      <c r="H165" s="36" t="s">
        <v>1772</v>
      </c>
      <c r="I165" s="36" t="s">
        <v>1773</v>
      </c>
      <c r="J165" s="36" t="s">
        <v>1774</v>
      </c>
      <c r="K165" s="29" t="s">
        <v>1775</v>
      </c>
      <c r="L165" s="28" t="s">
        <v>98</v>
      </c>
      <c r="M165" s="28" t="s">
        <v>45</v>
      </c>
      <c r="N165" s="29" t="s">
        <v>98</v>
      </c>
      <c r="O165" s="29" t="s">
        <v>32</v>
      </c>
      <c r="P165" s="29" t="s">
        <v>31</v>
      </c>
      <c r="Q165" s="29" t="s">
        <v>98</v>
      </c>
      <c r="R165" s="11"/>
      <c r="S165" s="11"/>
      <c r="T165" s="11"/>
      <c r="U165" s="11"/>
      <c r="V165" s="11"/>
      <c r="W165" s="11"/>
      <c r="X165" s="11"/>
      <c r="Y165" s="11"/>
      <c r="Z165" s="11"/>
    </row>
    <row r="166" ht="15.75" customHeight="1">
      <c r="A166" s="25">
        <v>162.0</v>
      </c>
      <c r="B166" s="25" t="s">
        <v>1778</v>
      </c>
      <c r="C166" s="27" t="s">
        <v>1740</v>
      </c>
      <c r="D166" s="27" t="s">
        <v>1779</v>
      </c>
      <c r="E166" s="27" t="s">
        <v>1780</v>
      </c>
      <c r="F166" s="27" t="s">
        <v>1781</v>
      </c>
      <c r="G166" s="27" t="s">
        <v>1754</v>
      </c>
      <c r="H166" s="27" t="s">
        <v>1782</v>
      </c>
      <c r="I166" s="27" t="s">
        <v>1783</v>
      </c>
      <c r="J166" s="27" t="s">
        <v>1784</v>
      </c>
      <c r="K166" s="27" t="s">
        <v>1785</v>
      </c>
      <c r="L166" s="25" t="s">
        <v>44</v>
      </c>
      <c r="M166" s="25" t="s">
        <v>45</v>
      </c>
      <c r="N166" s="27" t="s">
        <v>44</v>
      </c>
      <c r="O166" s="27" t="s">
        <v>32</v>
      </c>
      <c r="P166" s="27" t="s">
        <v>33</v>
      </c>
      <c r="Q166" s="27" t="s">
        <v>44</v>
      </c>
      <c r="R166" s="11"/>
      <c r="S166" s="11"/>
      <c r="T166" s="11"/>
      <c r="U166" s="11"/>
      <c r="V166" s="11"/>
      <c r="W166" s="11"/>
      <c r="X166" s="11"/>
      <c r="Y166" s="11"/>
      <c r="Z166" s="11"/>
    </row>
    <row r="167" ht="15.75" customHeight="1">
      <c r="A167" s="28">
        <v>163.0</v>
      </c>
      <c r="B167" s="28" t="s">
        <v>1786</v>
      </c>
      <c r="C167" s="29" t="s">
        <v>1740</v>
      </c>
      <c r="D167" s="29" t="s">
        <v>1787</v>
      </c>
      <c r="E167" s="29" t="s">
        <v>1788</v>
      </c>
      <c r="F167" s="29" t="s">
        <v>1789</v>
      </c>
      <c r="G167" s="29" t="s">
        <v>1754</v>
      </c>
      <c r="H167" s="29" t="s">
        <v>1790</v>
      </c>
      <c r="I167" s="29" t="s">
        <v>1791</v>
      </c>
      <c r="J167" s="29" t="s">
        <v>1792</v>
      </c>
      <c r="K167" s="29" t="s">
        <v>1793</v>
      </c>
      <c r="L167" s="28" t="s">
        <v>98</v>
      </c>
      <c r="M167" s="28" t="s">
        <v>45</v>
      </c>
      <c r="N167" s="29" t="s">
        <v>98</v>
      </c>
      <c r="O167" s="29" t="s">
        <v>33</v>
      </c>
      <c r="P167" s="29" t="s">
        <v>32</v>
      </c>
      <c r="Q167" s="29" t="s">
        <v>98</v>
      </c>
      <c r="R167" s="11"/>
      <c r="S167" s="11"/>
      <c r="T167" s="11"/>
      <c r="U167" s="11"/>
      <c r="V167" s="11"/>
      <c r="W167" s="11"/>
      <c r="X167" s="11"/>
      <c r="Y167" s="11"/>
      <c r="Z167" s="11"/>
    </row>
    <row r="168" ht="15.75" customHeight="1">
      <c r="A168" s="25">
        <v>164.0</v>
      </c>
      <c r="B168" s="25" t="s">
        <v>1794</v>
      </c>
      <c r="C168" s="27" t="s">
        <v>1740</v>
      </c>
      <c r="D168" s="27" t="s">
        <v>1795</v>
      </c>
      <c r="E168" s="27" t="s">
        <v>1796</v>
      </c>
      <c r="F168" s="27" t="s">
        <v>1797</v>
      </c>
      <c r="G168" s="27" t="s">
        <v>1754</v>
      </c>
      <c r="H168" s="27" t="s">
        <v>1798</v>
      </c>
      <c r="I168" s="27" t="s">
        <v>1799</v>
      </c>
      <c r="J168" s="27" t="s">
        <v>1800</v>
      </c>
      <c r="K168" s="27" t="s">
        <v>1801</v>
      </c>
      <c r="L168" s="25" t="s">
        <v>98</v>
      </c>
      <c r="M168" s="25" t="s">
        <v>45</v>
      </c>
      <c r="N168" s="27" t="s">
        <v>98</v>
      </c>
      <c r="O168" s="27" t="s">
        <v>33</v>
      </c>
      <c r="P168" s="27" t="s">
        <v>32</v>
      </c>
      <c r="Q168" s="27" t="s">
        <v>98</v>
      </c>
      <c r="R168" s="11"/>
      <c r="S168" s="11"/>
      <c r="T168" s="11"/>
      <c r="U168" s="11"/>
      <c r="V168" s="11"/>
      <c r="W168" s="11"/>
      <c r="X168" s="11"/>
      <c r="Y168" s="11"/>
      <c r="Z168" s="11"/>
    </row>
    <row r="169" ht="15.75" customHeight="1">
      <c r="A169" s="28">
        <v>165.0</v>
      </c>
      <c r="B169" s="28" t="s">
        <v>1803</v>
      </c>
      <c r="C169" s="29" t="s">
        <v>1740</v>
      </c>
      <c r="D169" s="29" t="s">
        <v>1805</v>
      </c>
      <c r="E169" s="29" t="s">
        <v>1806</v>
      </c>
      <c r="F169" s="29" t="s">
        <v>1807</v>
      </c>
      <c r="G169" s="29" t="s">
        <v>1754</v>
      </c>
      <c r="H169" s="29" t="s">
        <v>1808</v>
      </c>
      <c r="I169" s="29" t="s">
        <v>1809</v>
      </c>
      <c r="J169" s="29" t="s">
        <v>1810</v>
      </c>
      <c r="K169" s="29" t="s">
        <v>1811</v>
      </c>
      <c r="L169" s="28" t="s">
        <v>98</v>
      </c>
      <c r="M169" s="28" t="s">
        <v>45</v>
      </c>
      <c r="N169" s="29" t="s">
        <v>98</v>
      </c>
      <c r="O169" s="29" t="s">
        <v>33</v>
      </c>
      <c r="P169" s="29" t="s">
        <v>32</v>
      </c>
      <c r="Q169" s="29" t="s">
        <v>98</v>
      </c>
      <c r="R169" s="11"/>
      <c r="S169" s="11"/>
      <c r="T169" s="11"/>
      <c r="U169" s="11"/>
      <c r="V169" s="11"/>
      <c r="W169" s="11"/>
      <c r="X169" s="11"/>
      <c r="Y169" s="11"/>
      <c r="Z169" s="11"/>
    </row>
    <row r="170" ht="15.75" customHeight="1">
      <c r="A170" s="25">
        <v>166.0</v>
      </c>
      <c r="B170" s="25" t="s">
        <v>1812</v>
      </c>
      <c r="C170" s="27" t="s">
        <v>1740</v>
      </c>
      <c r="D170" s="27" t="s">
        <v>1805</v>
      </c>
      <c r="E170" s="27" t="s">
        <v>1813</v>
      </c>
      <c r="F170" s="27" t="s">
        <v>1814</v>
      </c>
      <c r="G170" s="27" t="s">
        <v>1754</v>
      </c>
      <c r="H170" s="27" t="s">
        <v>1815</v>
      </c>
      <c r="I170" s="27" t="s">
        <v>1816</v>
      </c>
      <c r="J170" s="27" t="s">
        <v>1817</v>
      </c>
      <c r="K170" s="27" t="s">
        <v>1818</v>
      </c>
      <c r="L170" s="25" t="s">
        <v>98</v>
      </c>
      <c r="M170" s="25" t="s">
        <v>45</v>
      </c>
      <c r="N170" s="27" t="s">
        <v>56</v>
      </c>
      <c r="O170" s="27" t="s">
        <v>33</v>
      </c>
      <c r="P170" s="27" t="s">
        <v>32</v>
      </c>
      <c r="Q170" s="27" t="s">
        <v>98</v>
      </c>
      <c r="R170" s="11"/>
      <c r="S170" s="11"/>
      <c r="T170" s="11"/>
      <c r="U170" s="11"/>
      <c r="V170" s="11"/>
      <c r="W170" s="11"/>
      <c r="X170" s="11"/>
      <c r="Y170" s="11"/>
      <c r="Z170" s="11"/>
    </row>
    <row r="171" ht="15.75" customHeight="1">
      <c r="A171" s="41">
        <v>167.0</v>
      </c>
      <c r="B171" s="41" t="s">
        <v>1819</v>
      </c>
      <c r="C171" s="36" t="s">
        <v>1740</v>
      </c>
      <c r="D171" s="36" t="s">
        <v>1805</v>
      </c>
      <c r="E171" s="36" t="s">
        <v>1820</v>
      </c>
      <c r="F171" s="36" t="s">
        <v>1821</v>
      </c>
      <c r="G171" s="36" t="s">
        <v>1822</v>
      </c>
      <c r="H171" s="36" t="s">
        <v>1823</v>
      </c>
      <c r="I171" s="36" t="s">
        <v>1824</v>
      </c>
      <c r="J171" s="36" t="s">
        <v>1825</v>
      </c>
      <c r="K171" s="29" t="s">
        <v>1826</v>
      </c>
      <c r="L171" s="28" t="s">
        <v>98</v>
      </c>
      <c r="M171" s="28" t="s">
        <v>45</v>
      </c>
      <c r="N171" s="29" t="s">
        <v>98</v>
      </c>
      <c r="O171" s="29" t="s">
        <v>33</v>
      </c>
      <c r="P171" s="29" t="s">
        <v>31</v>
      </c>
      <c r="Q171" s="29" t="s">
        <v>98</v>
      </c>
      <c r="R171" s="11"/>
      <c r="S171" s="11"/>
      <c r="T171" s="11"/>
      <c r="U171" s="11"/>
      <c r="V171" s="11"/>
      <c r="W171" s="11"/>
      <c r="X171" s="11"/>
      <c r="Y171" s="11"/>
      <c r="Z171" s="11"/>
    </row>
    <row r="172" ht="15.75" customHeight="1">
      <c r="A172" s="25">
        <v>168.0</v>
      </c>
      <c r="B172" s="25" t="s">
        <v>1829</v>
      </c>
      <c r="C172" s="27" t="s">
        <v>661</v>
      </c>
      <c r="D172" s="27" t="s">
        <v>364</v>
      </c>
      <c r="E172" s="27" t="s">
        <v>1831</v>
      </c>
      <c r="F172" s="27" t="s">
        <v>1833</v>
      </c>
      <c r="G172" s="27" t="s">
        <v>1834</v>
      </c>
      <c r="H172" s="27" t="s">
        <v>1835</v>
      </c>
      <c r="I172" s="27" t="s">
        <v>1836</v>
      </c>
      <c r="J172" s="27" t="s">
        <v>1837</v>
      </c>
      <c r="K172" s="27" t="s">
        <v>1838</v>
      </c>
      <c r="L172" s="27" t="s">
        <v>67</v>
      </c>
      <c r="M172" s="25" t="s">
        <v>32</v>
      </c>
      <c r="N172" s="27" t="s">
        <v>67</v>
      </c>
      <c r="O172" s="27" t="s">
        <v>45</v>
      </c>
      <c r="P172" s="27" t="s">
        <v>33</v>
      </c>
      <c r="Q172" s="27" t="s">
        <v>67</v>
      </c>
      <c r="R172" s="11"/>
      <c r="S172" s="11"/>
      <c r="T172" s="11"/>
      <c r="U172" s="11"/>
      <c r="V172" s="11"/>
      <c r="W172" s="11"/>
      <c r="X172" s="11"/>
      <c r="Y172" s="11"/>
      <c r="Z172" s="11"/>
    </row>
    <row r="173" ht="15.75" customHeight="1">
      <c r="A173" s="41">
        <v>169.0</v>
      </c>
      <c r="B173" s="41" t="s">
        <v>1839</v>
      </c>
      <c r="C173" s="36" t="s">
        <v>661</v>
      </c>
      <c r="D173" s="36" t="s">
        <v>364</v>
      </c>
      <c r="E173" s="36" t="s">
        <v>1840</v>
      </c>
      <c r="F173" s="36" t="s">
        <v>1841</v>
      </c>
      <c r="G173" s="36" t="s">
        <v>1842</v>
      </c>
      <c r="H173" s="36" t="s">
        <v>1843</v>
      </c>
      <c r="I173" s="36" t="s">
        <v>1844</v>
      </c>
      <c r="J173" s="36" t="s">
        <v>1845</v>
      </c>
      <c r="K173" s="29" t="s">
        <v>1846</v>
      </c>
      <c r="L173" s="28" t="s">
        <v>56</v>
      </c>
      <c r="M173" s="28" t="s">
        <v>32</v>
      </c>
      <c r="N173" s="29" t="s">
        <v>67</v>
      </c>
      <c r="O173" s="29" t="s">
        <v>45</v>
      </c>
      <c r="P173" s="29" t="s">
        <v>31</v>
      </c>
      <c r="Q173" s="29" t="s">
        <v>67</v>
      </c>
      <c r="R173" s="11"/>
      <c r="S173" s="11"/>
      <c r="T173" s="11"/>
      <c r="U173" s="11"/>
      <c r="V173" s="11"/>
      <c r="W173" s="11"/>
      <c r="X173" s="11"/>
      <c r="Y173" s="11"/>
      <c r="Z173" s="11"/>
    </row>
    <row r="174" ht="15.75" customHeight="1">
      <c r="A174" s="28">
        <v>97.0</v>
      </c>
      <c r="B174" s="28" t="s">
        <v>1848</v>
      </c>
      <c r="C174" s="29" t="s">
        <v>1849</v>
      </c>
      <c r="D174" s="29" t="s">
        <v>1148</v>
      </c>
      <c r="E174" s="29" t="s">
        <v>1850</v>
      </c>
      <c r="F174" s="29" t="s">
        <v>1851</v>
      </c>
      <c r="G174" s="29" t="s">
        <v>1852</v>
      </c>
      <c r="H174" s="29" t="s">
        <v>1853</v>
      </c>
      <c r="I174" s="29" t="s">
        <v>1854</v>
      </c>
      <c r="J174" s="29" t="s">
        <v>1855</v>
      </c>
      <c r="K174" s="29" t="s">
        <v>1856</v>
      </c>
      <c r="L174" s="28" t="s">
        <v>56</v>
      </c>
      <c r="M174" s="28" t="s">
        <v>31</v>
      </c>
      <c r="N174" s="29" t="s">
        <v>56</v>
      </c>
      <c r="O174" s="29" t="s">
        <v>32</v>
      </c>
      <c r="P174" s="29" t="s">
        <v>45</v>
      </c>
      <c r="Q174" s="29" t="s">
        <v>56</v>
      </c>
      <c r="R174" s="11"/>
      <c r="S174" s="11"/>
      <c r="T174" s="11"/>
      <c r="U174" s="11"/>
      <c r="V174" s="11"/>
      <c r="W174" s="11"/>
      <c r="X174" s="11"/>
      <c r="Y174" s="11"/>
      <c r="Z174" s="11"/>
    </row>
    <row r="175" ht="15.75" customHeight="1">
      <c r="A175" s="28">
        <v>171.0</v>
      </c>
      <c r="B175" s="28" t="s">
        <v>1857</v>
      </c>
      <c r="C175" s="29" t="s">
        <v>661</v>
      </c>
      <c r="D175" s="29" t="s">
        <v>364</v>
      </c>
      <c r="E175" s="29" t="s">
        <v>1858</v>
      </c>
      <c r="F175" s="29" t="s">
        <v>1859</v>
      </c>
      <c r="G175" s="29" t="s">
        <v>1860</v>
      </c>
      <c r="H175" s="29" t="s">
        <v>1861</v>
      </c>
      <c r="I175" s="29" t="s">
        <v>1862</v>
      </c>
      <c r="J175" s="29" t="s">
        <v>1863</v>
      </c>
      <c r="K175" s="29" t="s">
        <v>1864</v>
      </c>
      <c r="L175" s="28" t="s">
        <v>67</v>
      </c>
      <c r="M175" s="28" t="s">
        <v>32</v>
      </c>
      <c r="N175" s="29" t="s">
        <v>67</v>
      </c>
      <c r="O175" s="29" t="s">
        <v>45</v>
      </c>
      <c r="P175" s="29" t="s">
        <v>33</v>
      </c>
      <c r="Q175" s="29" t="s">
        <v>67</v>
      </c>
      <c r="R175" s="11"/>
      <c r="S175" s="11"/>
      <c r="T175" s="11"/>
      <c r="U175" s="11"/>
      <c r="V175" s="11"/>
      <c r="W175" s="11"/>
      <c r="X175" s="11"/>
      <c r="Y175" s="11"/>
      <c r="Z175" s="11"/>
    </row>
    <row r="176" ht="15.75" customHeight="1">
      <c r="A176" s="28">
        <v>99.0</v>
      </c>
      <c r="B176" s="28" t="s">
        <v>1865</v>
      </c>
      <c r="C176" s="29" t="s">
        <v>1866</v>
      </c>
      <c r="D176" s="29" t="s">
        <v>1171</v>
      </c>
      <c r="E176" s="29" t="s">
        <v>1867</v>
      </c>
      <c r="F176" s="29" t="s">
        <v>1868</v>
      </c>
      <c r="G176" s="29" t="s">
        <v>1869</v>
      </c>
      <c r="H176" s="29" t="s">
        <v>1870</v>
      </c>
      <c r="I176" s="29" t="s">
        <v>1871</v>
      </c>
      <c r="J176" s="29" t="s">
        <v>1872</v>
      </c>
      <c r="K176" s="29" t="s">
        <v>1873</v>
      </c>
      <c r="L176" s="28" t="s">
        <v>67</v>
      </c>
      <c r="M176" s="28" t="s">
        <v>31</v>
      </c>
      <c r="N176" s="29" t="s">
        <v>67</v>
      </c>
      <c r="O176" s="29" t="s">
        <v>32</v>
      </c>
      <c r="P176" s="29" t="s">
        <v>45</v>
      </c>
      <c r="Q176" s="27" t="s">
        <v>67</v>
      </c>
      <c r="R176" s="11"/>
      <c r="S176" s="11"/>
      <c r="T176" s="11"/>
      <c r="U176" s="11"/>
      <c r="V176" s="11"/>
      <c r="W176" s="11"/>
      <c r="X176" s="11"/>
      <c r="Y176" s="11"/>
      <c r="Z176" s="11"/>
    </row>
    <row r="177" ht="15.75" customHeight="1">
      <c r="A177" s="28">
        <v>103.0</v>
      </c>
      <c r="B177" s="28" t="s">
        <v>1876</v>
      </c>
      <c r="C177" s="29" t="s">
        <v>1877</v>
      </c>
      <c r="D177" s="29" t="s">
        <v>1185</v>
      </c>
      <c r="E177" s="29" t="s">
        <v>1878</v>
      </c>
      <c r="F177" s="29" t="s">
        <v>1879</v>
      </c>
      <c r="G177" s="29" t="s">
        <v>1880</v>
      </c>
      <c r="H177" s="29" t="s">
        <v>1881</v>
      </c>
      <c r="I177" s="29" t="s">
        <v>1882</v>
      </c>
      <c r="J177" s="29" t="s">
        <v>1883</v>
      </c>
      <c r="K177" s="29" t="s">
        <v>1884</v>
      </c>
      <c r="L177" s="28" t="s">
        <v>30</v>
      </c>
      <c r="M177" s="28" t="s">
        <v>32</v>
      </c>
      <c r="N177" s="29" t="s">
        <v>56</v>
      </c>
      <c r="O177" s="29" t="s">
        <v>32</v>
      </c>
      <c r="P177" s="29" t="s">
        <v>45</v>
      </c>
      <c r="Q177" s="29" t="s">
        <v>56</v>
      </c>
      <c r="R177" s="11"/>
      <c r="S177" s="11"/>
      <c r="T177" s="11"/>
      <c r="U177" s="11"/>
      <c r="V177" s="11"/>
      <c r="W177" s="11"/>
      <c r="X177" s="11"/>
      <c r="Y177" s="11"/>
      <c r="Z177" s="11"/>
    </row>
    <row r="178" ht="15.75" customHeight="1">
      <c r="A178" s="42">
        <v>174.0</v>
      </c>
      <c r="B178" s="42" t="s">
        <v>1885</v>
      </c>
      <c r="C178" s="38" t="s">
        <v>661</v>
      </c>
      <c r="D178" s="38" t="s">
        <v>364</v>
      </c>
      <c r="E178" s="38" t="s">
        <v>1886</v>
      </c>
      <c r="F178" s="38" t="s">
        <v>1887</v>
      </c>
      <c r="G178" s="38" t="s">
        <v>1888</v>
      </c>
      <c r="H178" s="38" t="s">
        <v>1889</v>
      </c>
      <c r="I178" s="38" t="s">
        <v>1890</v>
      </c>
      <c r="J178" s="38" t="s">
        <v>1891</v>
      </c>
      <c r="K178" s="27" t="s">
        <v>1892</v>
      </c>
      <c r="L178" s="25" t="s">
        <v>44</v>
      </c>
      <c r="M178" s="25" t="s">
        <v>32</v>
      </c>
      <c r="N178" s="27" t="s">
        <v>67</v>
      </c>
      <c r="O178" s="27" t="s">
        <v>45</v>
      </c>
      <c r="P178" s="27" t="s">
        <v>31</v>
      </c>
      <c r="Q178" s="27" t="s">
        <v>67</v>
      </c>
      <c r="R178" s="11" t="s">
        <v>32</v>
      </c>
      <c r="S178" s="11"/>
      <c r="T178" s="11"/>
      <c r="U178" s="11"/>
      <c r="V178" s="11"/>
      <c r="W178" s="11"/>
      <c r="X178" s="11"/>
      <c r="Y178" s="11"/>
      <c r="Z178" s="11"/>
    </row>
    <row r="179" ht="15.75" customHeight="1">
      <c r="A179" s="28">
        <v>175.0</v>
      </c>
      <c r="B179" s="28" t="s">
        <v>1898</v>
      </c>
      <c r="C179" s="29" t="s">
        <v>661</v>
      </c>
      <c r="D179" s="29" t="s">
        <v>364</v>
      </c>
      <c r="E179" s="29" t="s">
        <v>1899</v>
      </c>
      <c r="F179" s="29" t="s">
        <v>1900</v>
      </c>
      <c r="G179" s="29" t="s">
        <v>1901</v>
      </c>
      <c r="H179" s="29" t="s">
        <v>1902</v>
      </c>
      <c r="I179" s="29" t="s">
        <v>1903</v>
      </c>
      <c r="J179" s="29" t="s">
        <v>1904</v>
      </c>
      <c r="K179" s="29" t="s">
        <v>1905</v>
      </c>
      <c r="L179" s="28" t="s">
        <v>67</v>
      </c>
      <c r="M179" s="28" t="s">
        <v>32</v>
      </c>
      <c r="N179" s="29" t="s">
        <v>67</v>
      </c>
      <c r="O179" s="29" t="s">
        <v>45</v>
      </c>
      <c r="P179" s="29" t="s">
        <v>33</v>
      </c>
      <c r="Q179" s="29" t="s">
        <v>67</v>
      </c>
      <c r="R179" s="11"/>
      <c r="S179" s="11"/>
      <c r="T179" s="11"/>
      <c r="U179" s="11"/>
      <c r="V179" s="11"/>
      <c r="W179" s="11"/>
      <c r="X179" s="11"/>
      <c r="Y179" s="11"/>
      <c r="Z179" s="11"/>
    </row>
    <row r="180" ht="15.75" customHeight="1">
      <c r="A180" s="28">
        <v>107.0</v>
      </c>
      <c r="B180" s="28" t="s">
        <v>1906</v>
      </c>
      <c r="C180" s="29" t="s">
        <v>1907</v>
      </c>
      <c r="D180" s="29" t="s">
        <v>346</v>
      </c>
      <c r="E180" s="29" t="s">
        <v>1908</v>
      </c>
      <c r="F180" s="29" t="s">
        <v>1909</v>
      </c>
      <c r="G180" s="29" t="s">
        <v>1910</v>
      </c>
      <c r="H180" s="29" t="s">
        <v>1911</v>
      </c>
      <c r="I180" s="29" t="s">
        <v>1912</v>
      </c>
      <c r="J180" s="29" t="s">
        <v>1913</v>
      </c>
      <c r="K180" s="29" t="s">
        <v>1914</v>
      </c>
      <c r="L180" s="28" t="s">
        <v>56</v>
      </c>
      <c r="M180" s="28" t="s">
        <v>31</v>
      </c>
      <c r="N180" s="29" t="s">
        <v>56</v>
      </c>
      <c r="O180" s="29" t="s">
        <v>32</v>
      </c>
      <c r="P180" s="29" t="s">
        <v>45</v>
      </c>
      <c r="Q180" s="29" t="s">
        <v>56</v>
      </c>
      <c r="R180" s="11"/>
      <c r="S180" s="11"/>
      <c r="T180" s="11"/>
      <c r="U180" s="11"/>
      <c r="V180" s="11"/>
      <c r="W180" s="11"/>
      <c r="X180" s="11"/>
      <c r="Y180" s="11"/>
      <c r="Z180" s="11"/>
    </row>
    <row r="181" ht="15.75" customHeight="1">
      <c r="A181" s="41">
        <v>177.0</v>
      </c>
      <c r="B181" s="41" t="s">
        <v>1915</v>
      </c>
      <c r="C181" s="36" t="s">
        <v>915</v>
      </c>
      <c r="D181" s="36" t="s">
        <v>364</v>
      </c>
      <c r="E181" s="36" t="s">
        <v>1916</v>
      </c>
      <c r="F181" s="36" t="s">
        <v>1917</v>
      </c>
      <c r="G181" s="36" t="s">
        <v>1918</v>
      </c>
      <c r="H181" s="36" t="s">
        <v>1919</v>
      </c>
      <c r="I181" s="36" t="s">
        <v>1921</v>
      </c>
      <c r="J181" s="36" t="s">
        <v>1923</v>
      </c>
      <c r="K181" s="29" t="s">
        <v>1924</v>
      </c>
      <c r="L181" s="28" t="s">
        <v>67</v>
      </c>
      <c r="M181" s="28" t="s">
        <v>32</v>
      </c>
      <c r="N181" s="29" t="s">
        <v>67</v>
      </c>
      <c r="O181" s="29" t="s">
        <v>33</v>
      </c>
      <c r="P181" s="29" t="s">
        <v>31</v>
      </c>
      <c r="Q181" s="29" t="s">
        <v>67</v>
      </c>
      <c r="R181" s="11"/>
      <c r="S181" s="11"/>
      <c r="T181" s="11"/>
      <c r="U181" s="11"/>
      <c r="V181" s="11"/>
      <c r="W181" s="11"/>
      <c r="X181" s="11"/>
      <c r="Y181" s="11"/>
      <c r="Z181" s="11"/>
    </row>
    <row r="182" ht="15.75" customHeight="1">
      <c r="A182" s="25">
        <v>112.0</v>
      </c>
      <c r="B182" s="25" t="s">
        <v>1925</v>
      </c>
      <c r="C182" s="27" t="s">
        <v>1926</v>
      </c>
      <c r="D182" s="27" t="s">
        <v>1298</v>
      </c>
      <c r="E182" s="27" t="s">
        <v>1927</v>
      </c>
      <c r="F182" s="27" t="s">
        <v>1928</v>
      </c>
      <c r="G182" s="27" t="s">
        <v>1929</v>
      </c>
      <c r="H182" s="27" t="s">
        <v>1930</v>
      </c>
      <c r="I182" s="27" t="s">
        <v>1931</v>
      </c>
      <c r="J182" s="27" t="s">
        <v>1932</v>
      </c>
      <c r="K182" s="27" t="s">
        <v>1933</v>
      </c>
      <c r="L182" s="25" t="s">
        <v>98</v>
      </c>
      <c r="M182" s="25" t="s">
        <v>31</v>
      </c>
      <c r="N182" s="27" t="s">
        <v>30</v>
      </c>
      <c r="O182" s="27" t="s">
        <v>32</v>
      </c>
      <c r="P182" s="27" t="s">
        <v>45</v>
      </c>
      <c r="Q182" s="27" t="s">
        <v>98</v>
      </c>
      <c r="R182" s="11"/>
      <c r="S182" s="11"/>
      <c r="T182" s="11"/>
      <c r="U182" s="11"/>
      <c r="V182" s="11"/>
      <c r="W182" s="11"/>
      <c r="X182" s="11"/>
      <c r="Y182" s="11"/>
      <c r="Z182" s="11"/>
    </row>
    <row r="183" ht="15.75" customHeight="1">
      <c r="A183" s="42">
        <v>179.0</v>
      </c>
      <c r="B183" s="42" t="s">
        <v>1934</v>
      </c>
      <c r="C183" s="38" t="s">
        <v>661</v>
      </c>
      <c r="D183" s="38" t="s">
        <v>364</v>
      </c>
      <c r="E183" s="38" t="s">
        <v>1935</v>
      </c>
      <c r="F183" s="38" t="s">
        <v>1936</v>
      </c>
      <c r="G183" s="38" t="s">
        <v>1937</v>
      </c>
      <c r="H183" s="38" t="s">
        <v>1938</v>
      </c>
      <c r="I183" s="38" t="s">
        <v>1939</v>
      </c>
      <c r="J183" s="38" t="s">
        <v>1940</v>
      </c>
      <c r="K183" s="27" t="s">
        <v>1941</v>
      </c>
      <c r="L183" s="25" t="s">
        <v>44</v>
      </c>
      <c r="M183" s="25" t="s">
        <v>32</v>
      </c>
      <c r="N183" s="27" t="s">
        <v>44</v>
      </c>
      <c r="O183" s="27" t="s">
        <v>33</v>
      </c>
      <c r="P183" s="27" t="s">
        <v>31</v>
      </c>
      <c r="Q183" s="27" t="s">
        <v>44</v>
      </c>
      <c r="R183" s="11"/>
      <c r="S183" s="11"/>
      <c r="T183" s="11"/>
      <c r="U183" s="11"/>
      <c r="V183" s="11"/>
      <c r="W183" s="11"/>
      <c r="X183" s="11"/>
      <c r="Y183" s="11"/>
      <c r="Z183" s="11"/>
    </row>
    <row r="184" ht="15.75" customHeight="1">
      <c r="A184" s="28">
        <v>114.0</v>
      </c>
      <c r="B184" s="28" t="s">
        <v>1942</v>
      </c>
      <c r="C184" s="29" t="s">
        <v>1268</v>
      </c>
      <c r="D184" s="29" t="s">
        <v>1298</v>
      </c>
      <c r="E184" s="29" t="s">
        <v>1943</v>
      </c>
      <c r="F184" s="29" t="s">
        <v>1945</v>
      </c>
      <c r="G184" s="29" t="s">
        <v>1946</v>
      </c>
      <c r="H184" s="29" t="s">
        <v>1948</v>
      </c>
      <c r="I184" s="29" t="s">
        <v>1949</v>
      </c>
      <c r="J184" s="29" t="s">
        <v>1950</v>
      </c>
      <c r="K184" s="29" t="s">
        <v>1951</v>
      </c>
      <c r="L184" s="28" t="s">
        <v>56</v>
      </c>
      <c r="M184" s="28" t="s">
        <v>31</v>
      </c>
      <c r="N184" s="29" t="s">
        <v>67</v>
      </c>
      <c r="O184" s="29" t="s">
        <v>32</v>
      </c>
      <c r="P184" s="29" t="s">
        <v>45</v>
      </c>
      <c r="Q184" s="27" t="s">
        <v>56</v>
      </c>
      <c r="R184" s="11"/>
      <c r="S184" s="11"/>
      <c r="T184" s="11"/>
      <c r="U184" s="11"/>
      <c r="V184" s="11"/>
      <c r="W184" s="11"/>
      <c r="X184" s="11"/>
      <c r="Y184" s="11"/>
      <c r="Z184" s="11"/>
    </row>
    <row r="185" ht="15.75" customHeight="1">
      <c r="A185" s="42">
        <v>181.0</v>
      </c>
      <c r="B185" s="42" t="s">
        <v>1952</v>
      </c>
      <c r="C185" s="38" t="s">
        <v>661</v>
      </c>
      <c r="D185" s="38" t="s">
        <v>364</v>
      </c>
      <c r="E185" s="38" t="s">
        <v>1953</v>
      </c>
      <c r="F185" s="38" t="s">
        <v>1954</v>
      </c>
      <c r="G185" s="38" t="s">
        <v>1955</v>
      </c>
      <c r="H185" s="38" t="s">
        <v>1956</v>
      </c>
      <c r="I185" s="38" t="s">
        <v>1957</v>
      </c>
      <c r="J185" s="38" t="s">
        <v>1958</v>
      </c>
      <c r="K185" s="27" t="s">
        <v>1959</v>
      </c>
      <c r="L185" s="25" t="s">
        <v>67</v>
      </c>
      <c r="M185" s="25" t="s">
        <v>32</v>
      </c>
      <c r="N185" s="27" t="s">
        <v>67</v>
      </c>
      <c r="O185" s="27" t="s">
        <v>33</v>
      </c>
      <c r="P185" s="27" t="s">
        <v>31</v>
      </c>
      <c r="Q185" s="27" t="s">
        <v>67</v>
      </c>
      <c r="R185" s="11" t="s">
        <v>32</v>
      </c>
      <c r="S185" s="11"/>
      <c r="T185" s="11"/>
      <c r="U185" s="11"/>
      <c r="V185" s="11"/>
      <c r="W185" s="11"/>
      <c r="X185" s="11"/>
      <c r="Y185" s="11"/>
      <c r="Z185" s="11"/>
    </row>
    <row r="186" ht="15.75" customHeight="1">
      <c r="A186" s="28">
        <v>182.0</v>
      </c>
      <c r="B186" s="28" t="s">
        <v>1960</v>
      </c>
      <c r="C186" s="29" t="s">
        <v>661</v>
      </c>
      <c r="D186" s="29" t="s">
        <v>364</v>
      </c>
      <c r="E186" s="29" t="s">
        <v>1961</v>
      </c>
      <c r="F186" s="29" t="s">
        <v>1962</v>
      </c>
      <c r="G186" s="29" t="s">
        <v>1963</v>
      </c>
      <c r="H186" s="29" t="s">
        <v>1964</v>
      </c>
      <c r="I186" s="29" t="s">
        <v>1965</v>
      </c>
      <c r="J186" s="29" t="s">
        <v>1966</v>
      </c>
      <c r="K186" s="29" t="s">
        <v>1967</v>
      </c>
      <c r="L186" s="28" t="s">
        <v>67</v>
      </c>
      <c r="M186" s="28" t="s">
        <v>32</v>
      </c>
      <c r="N186" s="29" t="s">
        <v>67</v>
      </c>
      <c r="O186" s="29" t="s">
        <v>45</v>
      </c>
      <c r="P186" s="29" t="s">
        <v>33</v>
      </c>
      <c r="Q186" s="29" t="s">
        <v>67</v>
      </c>
      <c r="R186" s="11"/>
      <c r="S186" s="11"/>
      <c r="T186" s="11"/>
      <c r="U186" s="11"/>
      <c r="V186" s="11"/>
      <c r="W186" s="11"/>
      <c r="X186" s="11"/>
      <c r="Y186" s="11"/>
      <c r="Z186" s="11"/>
    </row>
    <row r="187" ht="15.75" customHeight="1">
      <c r="A187" s="28">
        <v>183.0</v>
      </c>
      <c r="B187" s="28" t="s">
        <v>1970</v>
      </c>
      <c r="C187" s="29" t="s">
        <v>1971</v>
      </c>
      <c r="D187" s="29" t="s">
        <v>1972</v>
      </c>
      <c r="E187" s="29" t="s">
        <v>1973</v>
      </c>
      <c r="F187" s="29" t="s">
        <v>1974</v>
      </c>
      <c r="G187" s="29" t="s">
        <v>1975</v>
      </c>
      <c r="H187" s="29" t="s">
        <v>1976</v>
      </c>
      <c r="I187" s="29" t="s">
        <v>1977</v>
      </c>
      <c r="J187" s="29" t="s">
        <v>1978</v>
      </c>
      <c r="K187" s="29" t="s">
        <v>1979</v>
      </c>
      <c r="L187" s="28" t="s">
        <v>44</v>
      </c>
      <c r="M187" s="28" t="s">
        <v>33</v>
      </c>
      <c r="N187" s="29" t="s">
        <v>67</v>
      </c>
      <c r="O187" s="29" t="s">
        <v>32</v>
      </c>
      <c r="P187" s="29" t="s">
        <v>32</v>
      </c>
      <c r="Q187" s="29" t="s">
        <v>30</v>
      </c>
      <c r="R187" s="11"/>
      <c r="S187" s="11"/>
      <c r="T187" s="11"/>
      <c r="U187" s="11"/>
      <c r="V187" s="11"/>
      <c r="W187" s="11"/>
      <c r="X187" s="11"/>
      <c r="Y187" s="11"/>
      <c r="Z187" s="11"/>
    </row>
    <row r="188" ht="15.75" customHeight="1">
      <c r="A188" s="42">
        <v>184.0</v>
      </c>
      <c r="B188" s="42" t="s">
        <v>1980</v>
      </c>
      <c r="C188" s="38" t="s">
        <v>661</v>
      </c>
      <c r="D188" s="38" t="s">
        <v>364</v>
      </c>
      <c r="E188" s="38" t="s">
        <v>1981</v>
      </c>
      <c r="F188" s="38" t="s">
        <v>1982</v>
      </c>
      <c r="G188" s="38" t="s">
        <v>1983</v>
      </c>
      <c r="H188" s="38" t="s">
        <v>1984</v>
      </c>
      <c r="I188" s="38" t="s">
        <v>1985</v>
      </c>
      <c r="J188" s="38" t="s">
        <v>1986</v>
      </c>
      <c r="K188" s="27" t="s">
        <v>1987</v>
      </c>
      <c r="L188" s="25" t="s">
        <v>67</v>
      </c>
      <c r="M188" s="25" t="s">
        <v>32</v>
      </c>
      <c r="N188" s="27" t="s">
        <v>67</v>
      </c>
      <c r="O188" s="27" t="s">
        <v>33</v>
      </c>
      <c r="P188" s="27" t="s">
        <v>31</v>
      </c>
      <c r="Q188" s="27" t="s">
        <v>67</v>
      </c>
      <c r="R188" s="11"/>
      <c r="S188" s="11"/>
      <c r="T188" s="11"/>
      <c r="U188" s="11"/>
      <c r="V188" s="11"/>
      <c r="W188" s="11"/>
      <c r="X188" s="11"/>
      <c r="Y188" s="11"/>
      <c r="Z188" s="11"/>
    </row>
    <row r="189" ht="15.75" customHeight="1">
      <c r="A189" s="28">
        <v>185.0</v>
      </c>
      <c r="B189" s="28" t="s">
        <v>1988</v>
      </c>
      <c r="C189" s="29" t="s">
        <v>1989</v>
      </c>
      <c r="D189" s="29" t="s">
        <v>1990</v>
      </c>
      <c r="E189" s="29" t="s">
        <v>1992</v>
      </c>
      <c r="F189" s="29" t="s">
        <v>1993</v>
      </c>
      <c r="G189" s="29" t="s">
        <v>1995</v>
      </c>
      <c r="H189" s="29" t="s">
        <v>1997</v>
      </c>
      <c r="I189" s="29" t="s">
        <v>1998</v>
      </c>
      <c r="J189" s="29" t="s">
        <v>1999</v>
      </c>
      <c r="K189" s="29" t="s">
        <v>2000</v>
      </c>
      <c r="L189" s="28" t="s">
        <v>30</v>
      </c>
      <c r="M189" s="28" t="s">
        <v>33</v>
      </c>
      <c r="N189" s="29" t="s">
        <v>30</v>
      </c>
      <c r="O189" s="29" t="s">
        <v>32</v>
      </c>
      <c r="P189" s="29" t="s">
        <v>45</v>
      </c>
      <c r="Q189" s="29" t="s">
        <v>30</v>
      </c>
      <c r="R189" s="11"/>
      <c r="S189" s="11"/>
      <c r="T189" s="11"/>
      <c r="U189" s="11"/>
      <c r="V189" s="11"/>
      <c r="W189" s="11"/>
      <c r="X189" s="11"/>
      <c r="Y189" s="11"/>
      <c r="Z189" s="11"/>
    </row>
    <row r="190" ht="15.75" customHeight="1">
      <c r="A190" s="28">
        <v>186.0</v>
      </c>
      <c r="B190" s="28" t="s">
        <v>2001</v>
      </c>
      <c r="C190" s="29" t="s">
        <v>2002</v>
      </c>
      <c r="D190" s="29" t="s">
        <v>2003</v>
      </c>
      <c r="E190" s="29" t="s">
        <v>2004</v>
      </c>
      <c r="F190" s="29" t="s">
        <v>2005</v>
      </c>
      <c r="G190" s="29" t="s">
        <v>2006</v>
      </c>
      <c r="H190" s="29" t="s">
        <v>2007</v>
      </c>
      <c r="I190" s="29" t="s">
        <v>2008</v>
      </c>
      <c r="J190" s="29" t="s">
        <v>2009</v>
      </c>
      <c r="K190" s="29" t="s">
        <v>2010</v>
      </c>
      <c r="L190" s="28" t="s">
        <v>44</v>
      </c>
      <c r="M190" s="28" t="s">
        <v>33</v>
      </c>
      <c r="N190" s="29" t="s">
        <v>67</v>
      </c>
      <c r="O190" s="29" t="s">
        <v>32</v>
      </c>
      <c r="P190" s="29" t="s">
        <v>45</v>
      </c>
      <c r="Q190" s="29" t="s">
        <v>67</v>
      </c>
      <c r="R190" s="11"/>
      <c r="S190" s="11"/>
      <c r="T190" s="11"/>
      <c r="U190" s="11"/>
      <c r="V190" s="11"/>
      <c r="W190" s="11"/>
      <c r="X190" s="11"/>
      <c r="Y190" s="11"/>
      <c r="Z190" s="11"/>
    </row>
    <row r="191" ht="15.75" customHeight="1">
      <c r="A191" s="25">
        <v>187.0</v>
      </c>
      <c r="B191" s="25" t="s">
        <v>2011</v>
      </c>
      <c r="C191" s="27" t="s">
        <v>2002</v>
      </c>
      <c r="D191" s="27" t="s">
        <v>2012</v>
      </c>
      <c r="E191" s="27" t="s">
        <v>2013</v>
      </c>
      <c r="F191" s="27" t="s">
        <v>2014</v>
      </c>
      <c r="G191" s="27" t="s">
        <v>2015</v>
      </c>
      <c r="H191" s="27" t="s">
        <v>2016</v>
      </c>
      <c r="I191" s="27" t="s">
        <v>2017</v>
      </c>
      <c r="J191" s="27" t="s">
        <v>2018</v>
      </c>
      <c r="K191" s="27" t="s">
        <v>2019</v>
      </c>
      <c r="L191" s="25" t="s">
        <v>56</v>
      </c>
      <c r="M191" s="25" t="s">
        <v>33</v>
      </c>
      <c r="N191" s="27" t="s">
        <v>56</v>
      </c>
      <c r="O191" s="27" t="s">
        <v>45</v>
      </c>
      <c r="P191" s="27" t="s">
        <v>32</v>
      </c>
      <c r="Q191" s="27" t="s">
        <v>56</v>
      </c>
      <c r="R191" s="11"/>
      <c r="S191" s="11"/>
      <c r="T191" s="11"/>
      <c r="U191" s="11"/>
      <c r="V191" s="11"/>
      <c r="W191" s="11"/>
      <c r="X191" s="11"/>
      <c r="Y191" s="11"/>
      <c r="Z191" s="11"/>
    </row>
    <row r="192" ht="15.75" customHeight="1">
      <c r="A192" s="28">
        <v>188.0</v>
      </c>
      <c r="B192" s="28" t="s">
        <v>2022</v>
      </c>
      <c r="C192" s="29" t="s">
        <v>2023</v>
      </c>
      <c r="D192" s="29" t="s">
        <v>2024</v>
      </c>
      <c r="E192" s="29" t="s">
        <v>2025</v>
      </c>
      <c r="F192" s="29" t="s">
        <v>2026</v>
      </c>
      <c r="G192" s="29" t="s">
        <v>2027</v>
      </c>
      <c r="H192" s="29" t="s">
        <v>2028</v>
      </c>
      <c r="I192" s="29" t="s">
        <v>2029</v>
      </c>
      <c r="J192" s="29" t="s">
        <v>2030</v>
      </c>
      <c r="K192" s="29" t="s">
        <v>2031</v>
      </c>
      <c r="L192" s="28" t="s">
        <v>30</v>
      </c>
      <c r="M192" s="28" t="s">
        <v>33</v>
      </c>
      <c r="N192" s="29" t="s">
        <v>30</v>
      </c>
      <c r="O192" s="29" t="s">
        <v>32</v>
      </c>
      <c r="P192" s="29" t="s">
        <v>31</v>
      </c>
      <c r="Q192" s="29" t="s">
        <v>30</v>
      </c>
      <c r="R192" s="11"/>
      <c r="S192" s="11"/>
      <c r="T192" s="11"/>
      <c r="U192" s="11"/>
      <c r="V192" s="11"/>
      <c r="W192" s="11"/>
      <c r="X192" s="11"/>
      <c r="Y192" s="11"/>
      <c r="Z192" s="11"/>
    </row>
    <row r="193" ht="15.75" customHeight="1">
      <c r="A193" s="25">
        <v>189.0</v>
      </c>
      <c r="B193" s="25" t="s">
        <v>2032</v>
      </c>
      <c r="C193" s="27" t="s">
        <v>2033</v>
      </c>
      <c r="D193" s="27" t="s">
        <v>2034</v>
      </c>
      <c r="E193" s="27" t="s">
        <v>2035</v>
      </c>
      <c r="F193" s="27" t="s">
        <v>2036</v>
      </c>
      <c r="G193" s="27" t="s">
        <v>2037</v>
      </c>
      <c r="H193" s="27" t="s">
        <v>2038</v>
      </c>
      <c r="I193" s="27" t="s">
        <v>2039</v>
      </c>
      <c r="J193" s="27" t="s">
        <v>2040</v>
      </c>
      <c r="K193" s="27" t="s">
        <v>2041</v>
      </c>
      <c r="L193" s="25" t="s">
        <v>44</v>
      </c>
      <c r="M193" s="25" t="s">
        <v>33</v>
      </c>
      <c r="N193" s="27" t="s">
        <v>67</v>
      </c>
      <c r="O193" s="27" t="s">
        <v>32</v>
      </c>
      <c r="P193" s="27" t="s">
        <v>45</v>
      </c>
      <c r="Q193" s="27" t="s">
        <v>56</v>
      </c>
      <c r="R193" s="11"/>
      <c r="S193" s="11"/>
      <c r="T193" s="11"/>
      <c r="U193" s="11"/>
      <c r="V193" s="11"/>
      <c r="W193" s="11"/>
      <c r="X193" s="11"/>
      <c r="Y193" s="11"/>
      <c r="Z193" s="11"/>
    </row>
    <row r="194" ht="15.75" customHeight="1">
      <c r="A194" s="28">
        <v>190.0</v>
      </c>
      <c r="B194" s="28" t="s">
        <v>2042</v>
      </c>
      <c r="C194" s="29" t="s">
        <v>2043</v>
      </c>
      <c r="D194" s="29" t="s">
        <v>2044</v>
      </c>
      <c r="E194" s="29" t="s">
        <v>2045</v>
      </c>
      <c r="F194" s="29" t="s">
        <v>2046</v>
      </c>
      <c r="G194" s="29" t="s">
        <v>2047</v>
      </c>
      <c r="H194" s="29" t="s">
        <v>2048</v>
      </c>
      <c r="I194" s="29" t="s">
        <v>2049</v>
      </c>
      <c r="J194" s="29" t="s">
        <v>2050</v>
      </c>
      <c r="K194" s="29" t="s">
        <v>2051</v>
      </c>
      <c r="L194" s="28" t="s">
        <v>44</v>
      </c>
      <c r="M194" s="28" t="s">
        <v>33</v>
      </c>
      <c r="N194" s="29" t="s">
        <v>67</v>
      </c>
      <c r="O194" s="29" t="s">
        <v>32</v>
      </c>
      <c r="P194" s="29" t="s">
        <v>45</v>
      </c>
      <c r="Q194" s="29" t="s">
        <v>67</v>
      </c>
      <c r="R194" s="11"/>
      <c r="S194" s="11"/>
      <c r="T194" s="11"/>
      <c r="U194" s="11"/>
      <c r="V194" s="11"/>
      <c r="W194" s="11"/>
      <c r="X194" s="11"/>
      <c r="Y194" s="11"/>
      <c r="Z194" s="11"/>
    </row>
    <row r="195" ht="15.75" customHeight="1">
      <c r="A195" s="25">
        <v>191.0</v>
      </c>
      <c r="B195" s="25" t="s">
        <v>2052</v>
      </c>
      <c r="C195" s="27" t="s">
        <v>2053</v>
      </c>
      <c r="D195" s="27" t="s">
        <v>2054</v>
      </c>
      <c r="E195" s="27" t="s">
        <v>2055</v>
      </c>
      <c r="F195" s="27" t="s">
        <v>2056</v>
      </c>
      <c r="G195" s="27" t="s">
        <v>2057</v>
      </c>
      <c r="H195" s="27" t="s">
        <v>2058</v>
      </c>
      <c r="I195" s="27" t="s">
        <v>2060</v>
      </c>
      <c r="J195" s="27" t="s">
        <v>2061</v>
      </c>
      <c r="K195" s="27" t="s">
        <v>2062</v>
      </c>
      <c r="L195" s="25" t="s">
        <v>44</v>
      </c>
      <c r="M195" s="25" t="s">
        <v>33</v>
      </c>
      <c r="N195" s="27" t="s">
        <v>67</v>
      </c>
      <c r="O195" s="27" t="s">
        <v>32</v>
      </c>
      <c r="P195" s="27" t="s">
        <v>45</v>
      </c>
      <c r="Q195" s="27" t="s">
        <v>44</v>
      </c>
      <c r="R195" s="11"/>
      <c r="S195" s="11"/>
      <c r="T195" s="11"/>
      <c r="U195" s="11"/>
      <c r="V195" s="11"/>
      <c r="W195" s="11"/>
      <c r="X195" s="11"/>
      <c r="Y195" s="11"/>
      <c r="Z195" s="11"/>
    </row>
    <row r="196" ht="15.75" customHeight="1">
      <c r="A196" s="41">
        <v>192.0</v>
      </c>
      <c r="B196" s="41" t="s">
        <v>2065</v>
      </c>
      <c r="C196" s="36" t="s">
        <v>2066</v>
      </c>
      <c r="D196" s="36" t="s">
        <v>1972</v>
      </c>
      <c r="E196" s="36" t="s">
        <v>2067</v>
      </c>
      <c r="F196" s="36" t="s">
        <v>2068</v>
      </c>
      <c r="G196" s="36" t="s">
        <v>2069</v>
      </c>
      <c r="H196" s="36" t="s">
        <v>2070</v>
      </c>
      <c r="I196" s="36" t="s">
        <v>2071</v>
      </c>
      <c r="J196" s="36" t="s">
        <v>2072</v>
      </c>
      <c r="K196" s="29" t="s">
        <v>2073</v>
      </c>
      <c r="L196" s="28" t="s">
        <v>44</v>
      </c>
      <c r="M196" s="28" t="s">
        <v>33</v>
      </c>
      <c r="N196" s="29" t="s">
        <v>67</v>
      </c>
      <c r="O196" s="29" t="s">
        <v>45</v>
      </c>
      <c r="P196" s="29" t="s">
        <v>31</v>
      </c>
      <c r="Q196" s="29" t="s">
        <v>44</v>
      </c>
      <c r="R196" s="11"/>
      <c r="S196" s="11"/>
      <c r="T196" s="11"/>
      <c r="U196" s="11"/>
      <c r="V196" s="11"/>
      <c r="W196" s="11"/>
      <c r="X196" s="11"/>
      <c r="Y196" s="11"/>
      <c r="Z196" s="11"/>
    </row>
    <row r="197" ht="15.75" customHeight="1">
      <c r="A197" s="25">
        <v>193.0</v>
      </c>
      <c r="B197" s="25" t="s">
        <v>2074</v>
      </c>
      <c r="C197" s="27" t="s">
        <v>2075</v>
      </c>
      <c r="D197" s="27" t="s">
        <v>2076</v>
      </c>
      <c r="E197" s="27" t="s">
        <v>2077</v>
      </c>
      <c r="F197" s="27" t="s">
        <v>2078</v>
      </c>
      <c r="G197" s="27" t="s">
        <v>2079</v>
      </c>
      <c r="H197" s="27" t="s">
        <v>2080</v>
      </c>
      <c r="I197" s="27" t="s">
        <v>2081</v>
      </c>
      <c r="J197" s="27" t="s">
        <v>2082</v>
      </c>
      <c r="K197" s="27" t="s">
        <v>2083</v>
      </c>
      <c r="L197" s="25" t="s">
        <v>44</v>
      </c>
      <c r="M197" s="25" t="s">
        <v>33</v>
      </c>
      <c r="N197" s="27" t="s">
        <v>44</v>
      </c>
      <c r="O197" s="27" t="s">
        <v>45</v>
      </c>
      <c r="P197" s="27" t="s">
        <v>32</v>
      </c>
      <c r="Q197" s="27" t="s">
        <v>30</v>
      </c>
      <c r="R197" s="11"/>
      <c r="S197" s="11"/>
      <c r="T197" s="11"/>
      <c r="U197" s="11"/>
      <c r="V197" s="11"/>
      <c r="W197" s="11"/>
      <c r="X197" s="11"/>
      <c r="Y197" s="11"/>
      <c r="Z197" s="11"/>
    </row>
    <row r="198" ht="15.75" customHeight="1">
      <c r="A198" s="28">
        <v>194.0</v>
      </c>
      <c r="B198" s="28" t="s">
        <v>2084</v>
      </c>
      <c r="C198" s="29" t="s">
        <v>2085</v>
      </c>
      <c r="D198" s="29" t="s">
        <v>2086</v>
      </c>
      <c r="E198" s="29" t="s">
        <v>2087</v>
      </c>
      <c r="F198" s="29" t="s">
        <v>2088</v>
      </c>
      <c r="G198" s="29" t="s">
        <v>2090</v>
      </c>
      <c r="H198" s="29" t="s">
        <v>2092</v>
      </c>
      <c r="I198" s="29" t="s">
        <v>2096</v>
      </c>
      <c r="J198" s="29" t="s">
        <v>2082</v>
      </c>
      <c r="K198" s="29" t="s">
        <v>2097</v>
      </c>
      <c r="L198" s="28" t="s">
        <v>30</v>
      </c>
      <c r="M198" s="28" t="s">
        <v>33</v>
      </c>
      <c r="N198" s="29" t="s">
        <v>67</v>
      </c>
      <c r="O198" s="29" t="s">
        <v>32</v>
      </c>
      <c r="P198" s="29" t="s">
        <v>45</v>
      </c>
      <c r="Q198" s="29" t="s">
        <v>44</v>
      </c>
      <c r="R198" s="11"/>
      <c r="S198" s="11"/>
      <c r="T198" s="11"/>
      <c r="U198" s="11"/>
      <c r="V198" s="11"/>
      <c r="W198" s="11"/>
      <c r="X198" s="11"/>
      <c r="Y198" s="11"/>
      <c r="Z198" s="11"/>
    </row>
    <row r="199" ht="15.75" customHeight="1">
      <c r="A199" s="42">
        <v>195.0</v>
      </c>
      <c r="B199" s="42" t="s">
        <v>2098</v>
      </c>
      <c r="C199" s="38" t="s">
        <v>2099</v>
      </c>
      <c r="D199" s="38" t="s">
        <v>2100</v>
      </c>
      <c r="E199" s="38" t="s">
        <v>2101</v>
      </c>
      <c r="F199" s="38" t="s">
        <v>2102</v>
      </c>
      <c r="G199" s="38" t="s">
        <v>2103</v>
      </c>
      <c r="H199" s="38" t="s">
        <v>2104</v>
      </c>
      <c r="I199" s="38" t="s">
        <v>2105</v>
      </c>
      <c r="J199" s="38" t="s">
        <v>2106</v>
      </c>
      <c r="K199" s="27" t="s">
        <v>2107</v>
      </c>
      <c r="L199" s="25" t="s">
        <v>44</v>
      </c>
      <c r="M199" s="25" t="s">
        <v>33</v>
      </c>
      <c r="N199" s="27" t="s">
        <v>67</v>
      </c>
      <c r="O199" s="27" t="s">
        <v>45</v>
      </c>
      <c r="P199" s="27" t="s">
        <v>31</v>
      </c>
      <c r="Q199" s="27" t="s">
        <v>44</v>
      </c>
      <c r="R199" s="11"/>
      <c r="S199" s="11"/>
      <c r="T199" s="11"/>
      <c r="U199" s="11"/>
      <c r="V199" s="11"/>
      <c r="W199" s="11"/>
      <c r="X199" s="11"/>
      <c r="Y199" s="11"/>
      <c r="Z199" s="11"/>
    </row>
    <row r="200" ht="15.75" customHeight="1">
      <c r="A200" s="25">
        <v>196.0</v>
      </c>
      <c r="B200" s="25" t="s">
        <v>2108</v>
      </c>
      <c r="C200" s="27" t="s">
        <v>2109</v>
      </c>
      <c r="D200" s="27" t="s">
        <v>2110</v>
      </c>
      <c r="E200" s="27" t="s">
        <v>2111</v>
      </c>
      <c r="F200" s="27" t="s">
        <v>2112</v>
      </c>
      <c r="G200" s="27" t="s">
        <v>2113</v>
      </c>
      <c r="H200" s="27" t="s">
        <v>2114</v>
      </c>
      <c r="I200" s="27" t="s">
        <v>2115</v>
      </c>
      <c r="J200" s="27" t="s">
        <v>2116</v>
      </c>
      <c r="K200" s="27" t="s">
        <v>2118</v>
      </c>
      <c r="L200" s="25" t="s">
        <v>44</v>
      </c>
      <c r="M200" s="25" t="s">
        <v>33</v>
      </c>
      <c r="N200" s="27" t="s">
        <v>67</v>
      </c>
      <c r="O200" s="27" t="s">
        <v>32</v>
      </c>
      <c r="P200" s="27" t="s">
        <v>45</v>
      </c>
      <c r="Q200" s="27" t="s">
        <v>67</v>
      </c>
      <c r="R200" s="11"/>
      <c r="S200" s="11"/>
      <c r="T200" s="11"/>
      <c r="U200" s="11"/>
      <c r="V200" s="11"/>
      <c r="W200" s="11"/>
      <c r="X200" s="11"/>
      <c r="Y200" s="11"/>
      <c r="Z200" s="11"/>
    </row>
    <row r="201" ht="15.75" customHeight="1">
      <c r="A201" s="28">
        <v>197.0</v>
      </c>
      <c r="B201" s="28" t="s">
        <v>2122</v>
      </c>
      <c r="C201" s="29" t="s">
        <v>2123</v>
      </c>
      <c r="D201" s="29" t="s">
        <v>2124</v>
      </c>
      <c r="E201" s="29" t="s">
        <v>2125</v>
      </c>
      <c r="F201" s="29" t="s">
        <v>2126</v>
      </c>
      <c r="G201" s="29" t="s">
        <v>2127</v>
      </c>
      <c r="H201" s="29" t="s">
        <v>2128</v>
      </c>
      <c r="I201" s="29" t="s">
        <v>2129</v>
      </c>
      <c r="J201" s="29" t="s">
        <v>2130</v>
      </c>
      <c r="K201" s="29" t="s">
        <v>2131</v>
      </c>
      <c r="L201" s="28" t="s">
        <v>44</v>
      </c>
      <c r="M201" s="28" t="s">
        <v>33</v>
      </c>
      <c r="N201" s="29" t="s">
        <v>67</v>
      </c>
      <c r="O201" s="29" t="s">
        <v>32</v>
      </c>
      <c r="P201" s="29" t="s">
        <v>45</v>
      </c>
      <c r="Q201" s="29" t="s">
        <v>44</v>
      </c>
      <c r="R201" s="11"/>
      <c r="S201" s="11"/>
      <c r="T201" s="11"/>
      <c r="U201" s="11"/>
      <c r="V201" s="11"/>
      <c r="W201" s="11"/>
      <c r="X201" s="11"/>
      <c r="Y201" s="11"/>
      <c r="Z201" s="11"/>
    </row>
    <row r="202" ht="15.75" customHeight="1">
      <c r="A202" s="42">
        <v>198.0</v>
      </c>
      <c r="B202" s="42" t="s">
        <v>2132</v>
      </c>
      <c r="C202" s="38" t="s">
        <v>2133</v>
      </c>
      <c r="D202" s="38" t="s">
        <v>2134</v>
      </c>
      <c r="E202" s="38" t="s">
        <v>2135</v>
      </c>
      <c r="F202" s="38" t="s">
        <v>2136</v>
      </c>
      <c r="G202" s="38" t="s">
        <v>2137</v>
      </c>
      <c r="H202" s="38" t="s">
        <v>2138</v>
      </c>
      <c r="I202" s="38" t="s">
        <v>2139</v>
      </c>
      <c r="J202" s="38" t="s">
        <v>2140</v>
      </c>
      <c r="K202" s="27" t="s">
        <v>2141</v>
      </c>
      <c r="L202" s="25" t="s">
        <v>44</v>
      </c>
      <c r="M202" s="25" t="s">
        <v>33</v>
      </c>
      <c r="N202" s="27" t="s">
        <v>44</v>
      </c>
      <c r="O202" s="27" t="s">
        <v>45</v>
      </c>
      <c r="P202" s="27" t="s">
        <v>31</v>
      </c>
      <c r="Q202" s="27" t="s">
        <v>44</v>
      </c>
      <c r="R202" s="11"/>
      <c r="S202" s="11"/>
      <c r="T202" s="11"/>
      <c r="U202" s="11"/>
      <c r="V202" s="11"/>
      <c r="W202" s="11"/>
      <c r="X202" s="11"/>
      <c r="Y202" s="11"/>
      <c r="Z202" s="11"/>
    </row>
    <row r="203" ht="15.75" customHeight="1">
      <c r="A203" s="28">
        <v>199.0</v>
      </c>
      <c r="B203" s="28" t="s">
        <v>2142</v>
      </c>
      <c r="C203" s="29" t="s">
        <v>2143</v>
      </c>
      <c r="D203" s="29" t="s">
        <v>2144</v>
      </c>
      <c r="E203" s="29" t="s">
        <v>2135</v>
      </c>
      <c r="F203" s="29" t="s">
        <v>2145</v>
      </c>
      <c r="G203" s="29" t="s">
        <v>2146</v>
      </c>
      <c r="H203" s="29" t="s">
        <v>2147</v>
      </c>
      <c r="I203" s="29" t="s">
        <v>2149</v>
      </c>
      <c r="J203" s="29" t="s">
        <v>2150</v>
      </c>
      <c r="K203" s="29" t="s">
        <v>2151</v>
      </c>
      <c r="L203" s="28" t="s">
        <v>44</v>
      </c>
      <c r="M203" s="28" t="s">
        <v>33</v>
      </c>
      <c r="N203" s="29" t="s">
        <v>44</v>
      </c>
      <c r="O203" s="29" t="s">
        <v>45</v>
      </c>
      <c r="P203" s="29" t="s">
        <v>32</v>
      </c>
      <c r="Q203" s="29" t="s">
        <v>67</v>
      </c>
      <c r="R203" s="11"/>
      <c r="S203" s="11"/>
      <c r="T203" s="11"/>
      <c r="U203" s="11"/>
      <c r="V203" s="11"/>
      <c r="W203" s="11"/>
      <c r="X203" s="11"/>
      <c r="Y203" s="11"/>
      <c r="Z203" s="11"/>
    </row>
    <row r="204" ht="15.75" customHeight="1">
      <c r="A204" s="25">
        <v>200.0</v>
      </c>
      <c r="B204" s="25" t="s">
        <v>2152</v>
      </c>
      <c r="C204" s="27" t="s">
        <v>2153</v>
      </c>
      <c r="D204" s="27" t="s">
        <v>2154</v>
      </c>
      <c r="E204" s="27" t="s">
        <v>2156</v>
      </c>
      <c r="F204" s="27" t="s">
        <v>2158</v>
      </c>
      <c r="G204" s="27" t="s">
        <v>2159</v>
      </c>
      <c r="H204" s="27" t="s">
        <v>2160</v>
      </c>
      <c r="I204" s="27" t="s">
        <v>2161</v>
      </c>
      <c r="J204" s="27" t="s">
        <v>2162</v>
      </c>
      <c r="K204" s="27" t="s">
        <v>2163</v>
      </c>
      <c r="L204" s="25" t="s">
        <v>44</v>
      </c>
      <c r="M204" s="25" t="s">
        <v>33</v>
      </c>
      <c r="N204" s="27" t="s">
        <v>56</v>
      </c>
      <c r="O204" s="27" t="s">
        <v>32</v>
      </c>
      <c r="P204" s="27" t="s">
        <v>45</v>
      </c>
      <c r="Q204" s="29" t="s">
        <v>44</v>
      </c>
      <c r="R204" s="11"/>
      <c r="S204" s="11"/>
      <c r="T204" s="11"/>
      <c r="U204" s="11"/>
      <c r="V204" s="11"/>
      <c r="W204" s="11"/>
      <c r="X204" s="11"/>
      <c r="Y204" s="11"/>
      <c r="Z204" s="11"/>
    </row>
    <row r="205" ht="15.75" customHeight="1">
      <c r="A205" s="41">
        <v>201.0</v>
      </c>
      <c r="B205" s="41" t="s">
        <v>2164</v>
      </c>
      <c r="C205" s="36" t="s">
        <v>2165</v>
      </c>
      <c r="D205" s="36" t="s">
        <v>2166</v>
      </c>
      <c r="E205" s="36" t="s">
        <v>2167</v>
      </c>
      <c r="F205" s="36" t="s">
        <v>2168</v>
      </c>
      <c r="G205" s="36" t="s">
        <v>2169</v>
      </c>
      <c r="H205" s="36" t="s">
        <v>2170</v>
      </c>
      <c r="I205" s="36" t="s">
        <v>2171</v>
      </c>
      <c r="J205" s="36" t="s">
        <v>2172</v>
      </c>
      <c r="K205" s="29" t="s">
        <v>2173</v>
      </c>
      <c r="L205" s="28" t="s">
        <v>44</v>
      </c>
      <c r="M205" s="28" t="s">
        <v>33</v>
      </c>
      <c r="N205" s="29" t="s">
        <v>44</v>
      </c>
      <c r="O205" s="29" t="s">
        <v>45</v>
      </c>
      <c r="P205" s="29" t="s">
        <v>31</v>
      </c>
      <c r="Q205" s="29" t="s">
        <v>44</v>
      </c>
      <c r="R205" s="11"/>
      <c r="S205" s="11"/>
      <c r="T205" s="11"/>
      <c r="U205" s="11"/>
      <c r="V205" s="11"/>
      <c r="W205" s="11"/>
      <c r="X205" s="11"/>
      <c r="Y205" s="11"/>
      <c r="Z205" s="11"/>
    </row>
    <row r="206" ht="15.75" customHeight="1">
      <c r="A206" s="25">
        <v>202.0</v>
      </c>
      <c r="B206" s="25" t="s">
        <v>2174</v>
      </c>
      <c r="C206" s="27" t="s">
        <v>2175</v>
      </c>
      <c r="D206" s="27" t="s">
        <v>2176</v>
      </c>
      <c r="E206" s="27" t="s">
        <v>2177</v>
      </c>
      <c r="F206" s="27" t="s">
        <v>2178</v>
      </c>
      <c r="G206" s="27" t="s">
        <v>2179</v>
      </c>
      <c r="H206" s="27" t="s">
        <v>2180</v>
      </c>
      <c r="I206" s="27" t="s">
        <v>2181</v>
      </c>
      <c r="J206" s="27" t="s">
        <v>2182</v>
      </c>
      <c r="K206" s="27" t="s">
        <v>2183</v>
      </c>
      <c r="L206" s="25" t="s">
        <v>30</v>
      </c>
      <c r="M206" s="25" t="s">
        <v>33</v>
      </c>
      <c r="N206" s="27" t="s">
        <v>30</v>
      </c>
      <c r="O206" s="27" t="s">
        <v>31</v>
      </c>
      <c r="P206" s="27" t="s">
        <v>32</v>
      </c>
      <c r="Q206" s="27" t="s">
        <v>30</v>
      </c>
      <c r="R206" s="11" t="s">
        <v>32</v>
      </c>
      <c r="S206" s="11"/>
      <c r="T206" s="11"/>
      <c r="U206" s="11"/>
      <c r="V206" s="11"/>
      <c r="W206" s="11"/>
      <c r="X206" s="11"/>
      <c r="Y206" s="11"/>
      <c r="Z206" s="11"/>
    </row>
    <row r="207" ht="15.75" customHeight="1">
      <c r="A207" s="28">
        <v>203.0</v>
      </c>
      <c r="B207" s="28" t="s">
        <v>2184</v>
      </c>
      <c r="C207" s="29" t="s">
        <v>2185</v>
      </c>
      <c r="D207" s="29" t="s">
        <v>2186</v>
      </c>
      <c r="E207" s="29" t="s">
        <v>2187</v>
      </c>
      <c r="F207" s="29" t="s">
        <v>2188</v>
      </c>
      <c r="G207" s="29" t="s">
        <v>2189</v>
      </c>
      <c r="H207" s="29" t="s">
        <v>2190</v>
      </c>
      <c r="I207" s="29" t="s">
        <v>2191</v>
      </c>
      <c r="J207" s="29" t="s">
        <v>2192</v>
      </c>
      <c r="K207" s="29" t="s">
        <v>2193</v>
      </c>
      <c r="L207" s="28" t="s">
        <v>44</v>
      </c>
      <c r="M207" s="28" t="s">
        <v>33</v>
      </c>
      <c r="N207" s="29" t="s">
        <v>30</v>
      </c>
      <c r="O207" s="29" t="s">
        <v>32</v>
      </c>
      <c r="P207" s="29" t="s">
        <v>45</v>
      </c>
      <c r="Q207" s="29" t="s">
        <v>44</v>
      </c>
      <c r="R207" s="11" t="s">
        <v>32</v>
      </c>
      <c r="S207" s="11"/>
      <c r="T207" s="11"/>
      <c r="U207" s="11"/>
      <c r="V207" s="11"/>
      <c r="W207" s="11"/>
      <c r="X207" s="11"/>
      <c r="Y207" s="11"/>
      <c r="Z207" s="11"/>
    </row>
    <row r="208" ht="15.75" customHeight="1">
      <c r="A208" s="25">
        <v>204.0</v>
      </c>
      <c r="B208" s="25" t="s">
        <v>2196</v>
      </c>
      <c r="C208" s="27" t="s">
        <v>2197</v>
      </c>
      <c r="D208" s="27" t="s">
        <v>2198</v>
      </c>
      <c r="E208" s="27" t="s">
        <v>2199</v>
      </c>
      <c r="F208" s="27" t="s">
        <v>2200</v>
      </c>
      <c r="G208" s="27" t="s">
        <v>2201</v>
      </c>
      <c r="H208" s="27" t="s">
        <v>2202</v>
      </c>
      <c r="I208" s="27" t="s">
        <v>2203</v>
      </c>
      <c r="J208" s="27" t="s">
        <v>2204</v>
      </c>
      <c r="K208" s="27" t="s">
        <v>2205</v>
      </c>
      <c r="L208" s="25" t="s">
        <v>98</v>
      </c>
      <c r="M208" s="25" t="s">
        <v>32</v>
      </c>
      <c r="N208" s="27" t="s">
        <v>98</v>
      </c>
      <c r="O208" s="27" t="s">
        <v>31</v>
      </c>
      <c r="P208" s="27" t="s">
        <v>33</v>
      </c>
      <c r="Q208" s="27" t="s">
        <v>98</v>
      </c>
      <c r="R208" s="11"/>
      <c r="S208" s="11"/>
      <c r="T208" s="11"/>
      <c r="U208" s="11"/>
      <c r="V208" s="11"/>
      <c r="W208" s="11"/>
      <c r="X208" s="11"/>
      <c r="Y208" s="11"/>
      <c r="Z208" s="11"/>
    </row>
    <row r="209" ht="15.75" customHeight="1">
      <c r="A209" s="28">
        <v>205.0</v>
      </c>
      <c r="B209" s="28" t="s">
        <v>2206</v>
      </c>
      <c r="C209" s="29" t="s">
        <v>2207</v>
      </c>
      <c r="D209" s="29" t="s">
        <v>2198</v>
      </c>
      <c r="E209" s="29" t="s">
        <v>2208</v>
      </c>
      <c r="F209" s="29" t="s">
        <v>2209</v>
      </c>
      <c r="G209" s="29" t="s">
        <v>2210</v>
      </c>
      <c r="H209" s="29" t="s">
        <v>2211</v>
      </c>
      <c r="I209" s="29" t="s">
        <v>2212</v>
      </c>
      <c r="J209" s="29" t="s">
        <v>2213</v>
      </c>
      <c r="K209" s="29" t="s">
        <v>2214</v>
      </c>
      <c r="L209" s="28" t="s">
        <v>98</v>
      </c>
      <c r="M209" s="28" t="s">
        <v>32</v>
      </c>
      <c r="N209" s="29" t="s">
        <v>98</v>
      </c>
      <c r="O209" s="29" t="s">
        <v>31</v>
      </c>
      <c r="P209" s="29" t="s">
        <v>33</v>
      </c>
      <c r="Q209" s="29" t="s">
        <v>98</v>
      </c>
      <c r="R209" s="11" t="s">
        <v>32</v>
      </c>
      <c r="S209" s="11"/>
      <c r="T209" s="11"/>
      <c r="U209" s="11"/>
      <c r="V209" s="11"/>
      <c r="W209" s="11"/>
      <c r="X209" s="11"/>
      <c r="Y209" s="11"/>
      <c r="Z209" s="11"/>
    </row>
    <row r="210" ht="15.75" customHeight="1">
      <c r="A210" s="25">
        <v>206.0</v>
      </c>
      <c r="B210" s="25" t="s">
        <v>2215</v>
      </c>
      <c r="C210" s="27" t="s">
        <v>2216</v>
      </c>
      <c r="D210" s="27" t="s">
        <v>2198</v>
      </c>
      <c r="E210" s="27" t="s">
        <v>2219</v>
      </c>
      <c r="F210" s="27" t="s">
        <v>2220</v>
      </c>
      <c r="G210" s="27" t="s">
        <v>2221</v>
      </c>
      <c r="H210" s="27" t="s">
        <v>2222</v>
      </c>
      <c r="I210" s="27" t="s">
        <v>2223</v>
      </c>
      <c r="J210" s="27" t="s">
        <v>2224</v>
      </c>
      <c r="K210" s="27" t="s">
        <v>2225</v>
      </c>
      <c r="L210" s="25" t="s">
        <v>98</v>
      </c>
      <c r="M210" s="25" t="s">
        <v>32</v>
      </c>
      <c r="N210" s="27" t="s">
        <v>98</v>
      </c>
      <c r="O210" s="27" t="s">
        <v>45</v>
      </c>
      <c r="P210" s="27" t="s">
        <v>33</v>
      </c>
      <c r="Q210" s="27" t="s">
        <v>98</v>
      </c>
      <c r="R210" s="11" t="s">
        <v>32</v>
      </c>
      <c r="S210" s="11"/>
      <c r="T210" s="11"/>
      <c r="U210" s="11"/>
      <c r="V210" s="11"/>
      <c r="W210" s="11"/>
      <c r="X210" s="11"/>
      <c r="Y210" s="11"/>
      <c r="Z210" s="11"/>
    </row>
    <row r="211" ht="15.75" customHeight="1">
      <c r="A211" s="28">
        <v>207.0</v>
      </c>
      <c r="B211" s="28" t="s">
        <v>2226</v>
      </c>
      <c r="C211" s="29" t="s">
        <v>2227</v>
      </c>
      <c r="D211" s="29" t="s">
        <v>2198</v>
      </c>
      <c r="E211" s="29" t="s">
        <v>2228</v>
      </c>
      <c r="F211" s="29" t="s">
        <v>2229</v>
      </c>
      <c r="G211" s="29" t="s">
        <v>2230</v>
      </c>
      <c r="H211" s="29" t="s">
        <v>2231</v>
      </c>
      <c r="I211" s="29" t="s">
        <v>2232</v>
      </c>
      <c r="J211" s="29" t="s">
        <v>2233</v>
      </c>
      <c r="K211" s="29" t="s">
        <v>2234</v>
      </c>
      <c r="L211" s="28" t="s">
        <v>98</v>
      </c>
      <c r="M211" s="28" t="s">
        <v>32</v>
      </c>
      <c r="N211" s="29" t="s">
        <v>98</v>
      </c>
      <c r="O211" s="29" t="s">
        <v>45</v>
      </c>
      <c r="P211" s="29" t="s">
        <v>33</v>
      </c>
      <c r="Q211" s="29" t="s">
        <v>98</v>
      </c>
      <c r="R211" s="11"/>
      <c r="S211" s="11"/>
      <c r="T211" s="11"/>
      <c r="U211" s="11"/>
      <c r="V211" s="11"/>
      <c r="W211" s="11"/>
      <c r="X211" s="11"/>
      <c r="Y211" s="11"/>
      <c r="Z211" s="11"/>
    </row>
    <row r="212" ht="15.75" customHeight="1">
      <c r="A212" s="25">
        <v>208.0</v>
      </c>
      <c r="B212" s="25" t="s">
        <v>2235</v>
      </c>
      <c r="C212" s="27" t="s">
        <v>2236</v>
      </c>
      <c r="D212" s="27" t="s">
        <v>2198</v>
      </c>
      <c r="E212" s="27" t="s">
        <v>2237</v>
      </c>
      <c r="F212" s="27" t="s">
        <v>2238</v>
      </c>
      <c r="G212" s="27" t="s">
        <v>2239</v>
      </c>
      <c r="H212" s="27" t="s">
        <v>2240</v>
      </c>
      <c r="I212" s="27" t="s">
        <v>2241</v>
      </c>
      <c r="J212" s="27" t="s">
        <v>2242</v>
      </c>
      <c r="K212" s="27" t="s">
        <v>2243</v>
      </c>
      <c r="L212" s="25" t="s">
        <v>98</v>
      </c>
      <c r="M212" s="25" t="s">
        <v>32</v>
      </c>
      <c r="N212" s="27" t="s">
        <v>98</v>
      </c>
      <c r="O212" s="27" t="s">
        <v>31</v>
      </c>
      <c r="P212" s="27" t="s">
        <v>33</v>
      </c>
      <c r="Q212" s="54" t="s">
        <v>98</v>
      </c>
      <c r="R212" s="11" t="s">
        <v>32</v>
      </c>
      <c r="S212" s="11"/>
      <c r="T212" s="11"/>
      <c r="U212" s="11"/>
      <c r="V212" s="11"/>
      <c r="W212" s="11"/>
      <c r="X212" s="11"/>
      <c r="Y212" s="11"/>
      <c r="Z212" s="11"/>
    </row>
    <row r="213" ht="15.75" customHeight="1">
      <c r="A213" s="16"/>
      <c r="B213" s="16"/>
      <c r="C213" s="18"/>
      <c r="D213" s="18"/>
      <c r="E213" s="18"/>
      <c r="F213" s="20"/>
      <c r="G213" s="18"/>
      <c r="H213" s="18"/>
      <c r="I213" s="18"/>
      <c r="J213" s="18"/>
      <c r="K213" s="18"/>
      <c r="L213" s="21"/>
      <c r="M213" s="21"/>
      <c r="N213" s="11"/>
      <c r="O213" s="11"/>
      <c r="P213" s="11"/>
      <c r="Q213" s="11"/>
      <c r="R213" s="11"/>
      <c r="S213" s="11"/>
      <c r="T213" s="11"/>
      <c r="U213" s="11"/>
      <c r="V213" s="11"/>
      <c r="W213" s="11"/>
      <c r="X213" s="11"/>
      <c r="Y213" s="11"/>
      <c r="Z213" s="11"/>
    </row>
    <row r="214" ht="15.75" customHeight="1">
      <c r="A214" s="16"/>
      <c r="B214" s="16"/>
      <c r="C214" s="18"/>
      <c r="D214" s="18"/>
      <c r="E214" s="18"/>
      <c r="F214" s="20"/>
      <c r="G214" s="18"/>
      <c r="H214" s="18"/>
      <c r="I214" s="18"/>
      <c r="J214" s="18"/>
      <c r="K214" s="18"/>
      <c r="L214" s="21"/>
      <c r="M214" s="21"/>
      <c r="N214" s="11"/>
      <c r="O214" s="11"/>
      <c r="P214" s="11"/>
      <c r="Q214" s="11"/>
      <c r="R214" s="11"/>
      <c r="S214" s="11"/>
      <c r="T214" s="11"/>
      <c r="U214" s="11"/>
      <c r="V214" s="11"/>
      <c r="W214" s="11"/>
      <c r="X214" s="11"/>
      <c r="Y214" s="11"/>
      <c r="Z214" s="11"/>
    </row>
    <row r="215" ht="15.75" customHeight="1">
      <c r="A215" s="16"/>
      <c r="B215" s="16"/>
      <c r="C215" s="18"/>
      <c r="D215" s="18"/>
      <c r="E215" s="18"/>
      <c r="F215" s="20"/>
      <c r="G215" s="18"/>
      <c r="H215" s="18"/>
      <c r="I215" s="18"/>
      <c r="J215" s="18"/>
      <c r="K215" s="18"/>
      <c r="L215" s="21"/>
      <c r="M215" s="21"/>
      <c r="N215" s="11"/>
      <c r="O215" s="11"/>
      <c r="P215" s="11"/>
      <c r="Q215" s="11"/>
      <c r="R215" s="11"/>
      <c r="S215" s="11"/>
      <c r="T215" s="11"/>
      <c r="U215" s="11"/>
      <c r="V215" s="11"/>
      <c r="W215" s="11"/>
      <c r="X215" s="11"/>
      <c r="Y215" s="11"/>
      <c r="Z215" s="11"/>
    </row>
    <row r="216" ht="15.75" customHeight="1">
      <c r="A216" s="16"/>
      <c r="B216" s="16"/>
      <c r="C216" s="18"/>
      <c r="D216" s="18"/>
      <c r="E216" s="18"/>
      <c r="F216" s="20"/>
      <c r="G216" s="18"/>
      <c r="H216" s="18"/>
      <c r="I216" s="18"/>
      <c r="J216" s="18"/>
      <c r="K216" s="18"/>
      <c r="L216" s="21"/>
      <c r="M216" s="21"/>
      <c r="N216" s="11"/>
      <c r="O216" s="11"/>
      <c r="P216" s="11"/>
      <c r="Q216" s="11"/>
      <c r="R216" s="11"/>
      <c r="S216" s="11"/>
      <c r="T216" s="11"/>
      <c r="U216" s="11"/>
      <c r="V216" s="11"/>
      <c r="W216" s="11"/>
      <c r="X216" s="11"/>
      <c r="Y216" s="11"/>
      <c r="Z216" s="11"/>
    </row>
    <row r="217" ht="15.75" customHeight="1">
      <c r="A217" s="16"/>
      <c r="B217" s="16"/>
      <c r="C217" s="18"/>
      <c r="D217" s="18"/>
      <c r="E217" s="18"/>
      <c r="F217" s="20"/>
      <c r="G217" s="18"/>
      <c r="H217" s="18"/>
      <c r="I217" s="18"/>
      <c r="J217" s="18"/>
      <c r="K217" s="18"/>
      <c r="L217" s="21"/>
      <c r="M217" s="21"/>
      <c r="N217" s="11"/>
      <c r="O217" s="11"/>
      <c r="P217" s="11"/>
      <c r="Q217" s="11"/>
      <c r="R217" s="11"/>
      <c r="S217" s="11"/>
      <c r="T217" s="11"/>
      <c r="U217" s="11"/>
      <c r="V217" s="11"/>
      <c r="W217" s="11"/>
      <c r="X217" s="11"/>
      <c r="Y217" s="11"/>
      <c r="Z217" s="11"/>
    </row>
    <row r="218" ht="15.75" customHeight="1">
      <c r="A218" s="16"/>
      <c r="B218" s="16"/>
      <c r="C218" s="18"/>
      <c r="D218" s="18"/>
      <c r="E218" s="18"/>
      <c r="F218" s="20"/>
      <c r="G218" s="18"/>
      <c r="H218" s="18"/>
      <c r="I218" s="18"/>
      <c r="J218" s="18"/>
      <c r="K218" s="18"/>
      <c r="L218" s="21"/>
      <c r="M218" s="21"/>
      <c r="N218" s="11"/>
      <c r="O218" s="11"/>
      <c r="P218" s="11"/>
      <c r="Q218" s="11"/>
      <c r="R218" s="11"/>
      <c r="S218" s="11"/>
      <c r="T218" s="11"/>
      <c r="U218" s="11"/>
      <c r="V218" s="11"/>
      <c r="W218" s="11"/>
      <c r="X218" s="11"/>
      <c r="Y218" s="11"/>
      <c r="Z218" s="11"/>
    </row>
    <row r="219" ht="15.75" customHeight="1">
      <c r="A219" s="16"/>
      <c r="B219" s="16"/>
      <c r="C219" s="18"/>
      <c r="D219" s="18"/>
      <c r="E219" s="18"/>
      <c r="F219" s="20"/>
      <c r="G219" s="18"/>
      <c r="H219" s="18"/>
      <c r="I219" s="18"/>
      <c r="J219" s="18"/>
      <c r="K219" s="18"/>
      <c r="L219" s="21"/>
      <c r="M219" s="21"/>
      <c r="N219" s="11"/>
      <c r="O219" s="11"/>
      <c r="P219" s="11"/>
      <c r="Q219" s="11"/>
      <c r="R219" s="11"/>
      <c r="S219" s="11"/>
      <c r="T219" s="11"/>
      <c r="U219" s="11"/>
      <c r="V219" s="11"/>
      <c r="W219" s="11"/>
      <c r="X219" s="11"/>
      <c r="Y219" s="11"/>
      <c r="Z219" s="11"/>
    </row>
    <row r="220" ht="15.75" customHeight="1">
      <c r="A220" s="16"/>
      <c r="B220" s="16"/>
      <c r="C220" s="18"/>
      <c r="D220" s="18"/>
      <c r="E220" s="18"/>
      <c r="F220" s="20"/>
      <c r="G220" s="18"/>
      <c r="H220" s="18"/>
      <c r="I220" s="18"/>
      <c r="J220" s="18"/>
      <c r="K220" s="18"/>
      <c r="L220" s="21"/>
      <c r="M220" s="21"/>
      <c r="N220" s="11"/>
      <c r="O220" s="11"/>
      <c r="P220" s="11"/>
      <c r="Q220" s="11"/>
      <c r="R220" s="11"/>
      <c r="S220" s="11"/>
      <c r="T220" s="11"/>
      <c r="U220" s="11"/>
      <c r="V220" s="11"/>
      <c r="W220" s="11"/>
      <c r="X220" s="11"/>
      <c r="Y220" s="11"/>
      <c r="Z220" s="11"/>
    </row>
    <row r="221" ht="15.75" customHeight="1">
      <c r="A221" s="16"/>
      <c r="B221" s="16"/>
      <c r="C221" s="18"/>
      <c r="D221" s="18"/>
      <c r="E221" s="18"/>
      <c r="F221" s="20"/>
      <c r="G221" s="18"/>
      <c r="H221" s="18"/>
      <c r="I221" s="18"/>
      <c r="J221" s="18"/>
      <c r="K221" s="18"/>
      <c r="L221" s="21"/>
      <c r="M221" s="21"/>
      <c r="N221" s="11"/>
      <c r="O221" s="11"/>
      <c r="P221" s="11"/>
      <c r="Q221" s="11"/>
      <c r="R221" s="11"/>
      <c r="S221" s="11"/>
      <c r="T221" s="11"/>
      <c r="U221" s="11"/>
      <c r="V221" s="11"/>
      <c r="W221" s="11"/>
      <c r="X221" s="11"/>
      <c r="Y221" s="11"/>
      <c r="Z221" s="11"/>
    </row>
    <row r="222" ht="15.75" customHeight="1">
      <c r="A222" s="16"/>
      <c r="B222" s="16"/>
      <c r="C222" s="18"/>
      <c r="D222" s="18"/>
      <c r="E222" s="18"/>
      <c r="F222" s="20"/>
      <c r="G222" s="18"/>
      <c r="H222" s="18"/>
      <c r="I222" s="18"/>
      <c r="J222" s="18"/>
      <c r="K222" s="18"/>
      <c r="L222" s="21"/>
      <c r="M222" s="21"/>
      <c r="N222" s="11"/>
      <c r="O222" s="11"/>
      <c r="P222" s="11"/>
      <c r="Q222" s="11"/>
      <c r="R222" s="11"/>
      <c r="S222" s="11"/>
      <c r="T222" s="11"/>
      <c r="U222" s="11"/>
      <c r="V222" s="11"/>
      <c r="W222" s="11"/>
      <c r="X222" s="11"/>
      <c r="Y222" s="11"/>
      <c r="Z222" s="11"/>
    </row>
    <row r="223" ht="15.75" customHeight="1">
      <c r="A223" s="16"/>
      <c r="B223" s="16"/>
      <c r="C223" s="18"/>
      <c r="D223" s="18"/>
      <c r="E223" s="18"/>
      <c r="F223" s="20"/>
      <c r="G223" s="18"/>
      <c r="H223" s="18"/>
      <c r="I223" s="18"/>
      <c r="J223" s="18"/>
      <c r="K223" s="18"/>
      <c r="L223" s="21"/>
      <c r="M223" s="21"/>
      <c r="N223" s="11"/>
      <c r="O223" s="11"/>
      <c r="P223" s="11"/>
      <c r="Q223" s="11"/>
      <c r="R223" s="11"/>
      <c r="S223" s="11"/>
      <c r="T223" s="11"/>
      <c r="U223" s="11"/>
      <c r="V223" s="11"/>
      <c r="W223" s="11"/>
      <c r="X223" s="11"/>
      <c r="Y223" s="11"/>
      <c r="Z223" s="11"/>
    </row>
    <row r="224" ht="15.75" customHeight="1">
      <c r="A224" s="16"/>
      <c r="B224" s="16"/>
      <c r="C224" s="18"/>
      <c r="D224" s="18"/>
      <c r="E224" s="18"/>
      <c r="F224" s="20"/>
      <c r="G224" s="18"/>
      <c r="H224" s="18"/>
      <c r="I224" s="18"/>
      <c r="J224" s="18"/>
      <c r="K224" s="18"/>
      <c r="L224" s="21"/>
      <c r="M224" s="21"/>
      <c r="N224" s="11"/>
      <c r="O224" s="11"/>
      <c r="P224" s="11"/>
      <c r="Q224" s="11"/>
      <c r="R224" s="11"/>
      <c r="S224" s="11"/>
      <c r="T224" s="11"/>
      <c r="U224" s="11"/>
      <c r="V224" s="11"/>
      <c r="W224" s="11"/>
      <c r="X224" s="11"/>
      <c r="Y224" s="11"/>
      <c r="Z224" s="11"/>
    </row>
    <row r="225" ht="15.75" customHeight="1">
      <c r="A225" s="16"/>
      <c r="B225" s="16"/>
      <c r="C225" s="18"/>
      <c r="D225" s="18"/>
      <c r="E225" s="18"/>
      <c r="F225" s="20"/>
      <c r="G225" s="18"/>
      <c r="H225" s="18"/>
      <c r="I225" s="18"/>
      <c r="J225" s="18"/>
      <c r="K225" s="18"/>
      <c r="L225" s="21"/>
      <c r="M225" s="21"/>
      <c r="N225" s="11"/>
      <c r="O225" s="11"/>
      <c r="P225" s="11"/>
      <c r="Q225" s="11"/>
      <c r="R225" s="11"/>
      <c r="S225" s="11"/>
      <c r="T225" s="11"/>
      <c r="U225" s="11"/>
      <c r="V225" s="11"/>
      <c r="W225" s="11"/>
      <c r="X225" s="11"/>
      <c r="Y225" s="11"/>
      <c r="Z225" s="11"/>
    </row>
    <row r="226" ht="15.75" customHeight="1">
      <c r="A226" s="16"/>
      <c r="B226" s="16"/>
      <c r="C226" s="18"/>
      <c r="D226" s="18"/>
      <c r="E226" s="18"/>
      <c r="F226" s="20"/>
      <c r="G226" s="18"/>
      <c r="H226" s="18"/>
      <c r="I226" s="18"/>
      <c r="J226" s="18"/>
      <c r="K226" s="18"/>
      <c r="L226" s="21"/>
      <c r="M226" s="21"/>
      <c r="N226" s="11"/>
      <c r="O226" s="11"/>
      <c r="P226" s="11"/>
      <c r="Q226" s="11"/>
      <c r="R226" s="11"/>
      <c r="S226" s="11"/>
      <c r="T226" s="11"/>
      <c r="U226" s="11"/>
      <c r="V226" s="11"/>
      <c r="W226" s="11"/>
      <c r="X226" s="11"/>
      <c r="Y226" s="11"/>
      <c r="Z226" s="11"/>
    </row>
    <row r="227" ht="15.75" customHeight="1">
      <c r="A227" s="16"/>
      <c r="B227" s="16"/>
      <c r="C227" s="18"/>
      <c r="D227" s="18"/>
      <c r="E227" s="18"/>
      <c r="F227" s="20"/>
      <c r="G227" s="18"/>
      <c r="H227" s="18"/>
      <c r="I227" s="18"/>
      <c r="J227" s="18"/>
      <c r="K227" s="18"/>
      <c r="L227" s="21"/>
      <c r="M227" s="21"/>
      <c r="N227" s="11"/>
      <c r="O227" s="11"/>
      <c r="P227" s="11"/>
      <c r="Q227" s="11"/>
      <c r="R227" s="11"/>
      <c r="S227" s="11"/>
      <c r="T227" s="11"/>
      <c r="U227" s="11"/>
      <c r="V227" s="11"/>
      <c r="W227" s="11"/>
      <c r="X227" s="11"/>
      <c r="Y227" s="11"/>
      <c r="Z227" s="11"/>
    </row>
    <row r="228" ht="15.75" customHeight="1">
      <c r="A228" s="16"/>
      <c r="B228" s="16"/>
      <c r="C228" s="18"/>
      <c r="D228" s="18"/>
      <c r="E228" s="18"/>
      <c r="F228" s="20"/>
      <c r="G228" s="18"/>
      <c r="H228" s="18"/>
      <c r="I228" s="18"/>
      <c r="J228" s="18"/>
      <c r="K228" s="18"/>
      <c r="L228" s="21"/>
      <c r="M228" s="21"/>
      <c r="N228" s="11"/>
      <c r="O228" s="11"/>
      <c r="P228" s="11"/>
      <c r="Q228" s="11"/>
      <c r="R228" s="11"/>
      <c r="S228" s="11"/>
      <c r="T228" s="11"/>
      <c r="U228" s="11"/>
      <c r="V228" s="11"/>
      <c r="W228" s="11"/>
      <c r="X228" s="11"/>
      <c r="Y228" s="11"/>
      <c r="Z228" s="11"/>
    </row>
    <row r="229" ht="15.75" customHeight="1">
      <c r="A229" s="16"/>
      <c r="B229" s="16"/>
      <c r="C229" s="18"/>
      <c r="D229" s="18"/>
      <c r="E229" s="18"/>
      <c r="F229" s="20"/>
      <c r="G229" s="18"/>
      <c r="H229" s="18"/>
      <c r="I229" s="18"/>
      <c r="J229" s="18"/>
      <c r="K229" s="18"/>
      <c r="L229" s="21"/>
      <c r="M229" s="21"/>
      <c r="N229" s="11"/>
      <c r="O229" s="11"/>
      <c r="P229" s="11"/>
      <c r="Q229" s="11"/>
      <c r="R229" s="11"/>
      <c r="S229" s="11"/>
      <c r="T229" s="11"/>
      <c r="U229" s="11"/>
      <c r="V229" s="11"/>
      <c r="W229" s="11"/>
      <c r="X229" s="11"/>
      <c r="Y229" s="11"/>
      <c r="Z229" s="11"/>
    </row>
    <row r="230" ht="15.75" customHeight="1">
      <c r="A230" s="16"/>
      <c r="B230" s="16"/>
      <c r="C230" s="18"/>
      <c r="D230" s="18"/>
      <c r="E230" s="18"/>
      <c r="F230" s="20"/>
      <c r="G230" s="18"/>
      <c r="H230" s="18"/>
      <c r="I230" s="18"/>
      <c r="J230" s="18"/>
      <c r="K230" s="18"/>
      <c r="L230" s="21"/>
      <c r="M230" s="21"/>
      <c r="N230" s="11"/>
      <c r="O230" s="11"/>
      <c r="P230" s="11"/>
      <c r="Q230" s="11"/>
      <c r="R230" s="11"/>
      <c r="S230" s="11"/>
      <c r="T230" s="11"/>
      <c r="U230" s="11"/>
      <c r="V230" s="11"/>
      <c r="W230" s="11"/>
      <c r="X230" s="11"/>
      <c r="Y230" s="11"/>
      <c r="Z230" s="11"/>
    </row>
    <row r="231" ht="15.75" customHeight="1">
      <c r="A231" s="16"/>
      <c r="B231" s="16"/>
      <c r="C231" s="18"/>
      <c r="D231" s="18"/>
      <c r="E231" s="18"/>
      <c r="F231" s="20"/>
      <c r="G231" s="18"/>
      <c r="H231" s="18"/>
      <c r="I231" s="18"/>
      <c r="J231" s="18"/>
      <c r="K231" s="18"/>
      <c r="L231" s="21"/>
      <c r="M231" s="21"/>
      <c r="N231" s="11"/>
      <c r="O231" s="11"/>
      <c r="P231" s="11"/>
      <c r="Q231" s="11"/>
      <c r="R231" s="11"/>
      <c r="S231" s="11"/>
      <c r="T231" s="11"/>
      <c r="U231" s="11"/>
      <c r="V231" s="11"/>
      <c r="W231" s="11"/>
      <c r="X231" s="11"/>
      <c r="Y231" s="11"/>
      <c r="Z231" s="11"/>
    </row>
    <row r="232" ht="15.75" customHeight="1">
      <c r="A232" s="16"/>
      <c r="B232" s="16"/>
      <c r="C232" s="18"/>
      <c r="D232" s="18"/>
      <c r="E232" s="18"/>
      <c r="F232" s="20"/>
      <c r="G232" s="18"/>
      <c r="H232" s="18"/>
      <c r="I232" s="18"/>
      <c r="J232" s="18"/>
      <c r="K232" s="18"/>
      <c r="L232" s="21"/>
      <c r="M232" s="21"/>
      <c r="N232" s="11"/>
      <c r="O232" s="11"/>
      <c r="P232" s="11"/>
      <c r="Q232" s="11"/>
      <c r="R232" s="11"/>
      <c r="S232" s="11"/>
      <c r="T232" s="11"/>
      <c r="U232" s="11"/>
      <c r="V232" s="11"/>
      <c r="W232" s="11"/>
      <c r="X232" s="11"/>
      <c r="Y232" s="11"/>
      <c r="Z232" s="11"/>
    </row>
    <row r="233" ht="15.75" customHeight="1">
      <c r="A233" s="16"/>
      <c r="B233" s="16"/>
      <c r="C233" s="18"/>
      <c r="D233" s="18"/>
      <c r="E233" s="18"/>
      <c r="F233" s="20"/>
      <c r="G233" s="18"/>
      <c r="H233" s="18"/>
      <c r="I233" s="18"/>
      <c r="J233" s="18"/>
      <c r="K233" s="18"/>
      <c r="L233" s="21"/>
      <c r="M233" s="21"/>
      <c r="N233" s="11"/>
      <c r="O233" s="11"/>
      <c r="P233" s="11"/>
      <c r="Q233" s="11"/>
      <c r="R233" s="11"/>
      <c r="S233" s="11"/>
      <c r="T233" s="11"/>
      <c r="U233" s="11"/>
      <c r="V233" s="11"/>
      <c r="W233" s="11"/>
      <c r="X233" s="11"/>
      <c r="Y233" s="11"/>
      <c r="Z233" s="11"/>
    </row>
    <row r="234" ht="15.75" customHeight="1">
      <c r="A234" s="16"/>
      <c r="B234" s="16"/>
      <c r="C234" s="18"/>
      <c r="D234" s="18"/>
      <c r="E234" s="18"/>
      <c r="F234" s="20"/>
      <c r="G234" s="18"/>
      <c r="H234" s="18"/>
      <c r="I234" s="18"/>
      <c r="J234" s="18"/>
      <c r="K234" s="18"/>
      <c r="L234" s="21"/>
      <c r="M234" s="21"/>
      <c r="N234" s="11"/>
      <c r="O234" s="11"/>
      <c r="P234" s="11"/>
      <c r="Q234" s="11"/>
      <c r="R234" s="11"/>
      <c r="S234" s="11"/>
      <c r="T234" s="11"/>
      <c r="U234" s="11"/>
      <c r="V234" s="11"/>
      <c r="W234" s="11"/>
      <c r="X234" s="11"/>
      <c r="Y234" s="11"/>
      <c r="Z234" s="11"/>
    </row>
    <row r="235" ht="15.75" customHeight="1">
      <c r="A235" s="16"/>
      <c r="B235" s="16"/>
      <c r="C235" s="18"/>
      <c r="D235" s="18"/>
      <c r="E235" s="18"/>
      <c r="F235" s="20"/>
      <c r="G235" s="18"/>
      <c r="H235" s="18"/>
      <c r="I235" s="18"/>
      <c r="J235" s="18"/>
      <c r="K235" s="18"/>
      <c r="L235" s="21"/>
      <c r="M235" s="21"/>
      <c r="N235" s="11"/>
      <c r="O235" s="11"/>
      <c r="P235" s="11"/>
      <c r="Q235" s="11"/>
      <c r="R235" s="11"/>
      <c r="S235" s="11"/>
      <c r="T235" s="11"/>
      <c r="U235" s="11"/>
      <c r="V235" s="11"/>
      <c r="W235" s="11"/>
      <c r="X235" s="11"/>
      <c r="Y235" s="11"/>
      <c r="Z235" s="11"/>
    </row>
    <row r="236" ht="15.75" customHeight="1">
      <c r="A236" s="16"/>
      <c r="B236" s="16"/>
      <c r="C236" s="18"/>
      <c r="D236" s="18"/>
      <c r="E236" s="18"/>
      <c r="F236" s="20"/>
      <c r="G236" s="18"/>
      <c r="H236" s="18"/>
      <c r="I236" s="18"/>
      <c r="J236" s="18"/>
      <c r="K236" s="18"/>
      <c r="L236" s="21"/>
      <c r="M236" s="21"/>
      <c r="N236" s="11"/>
      <c r="O236" s="11"/>
      <c r="P236" s="11"/>
      <c r="Q236" s="11"/>
      <c r="R236" s="11"/>
      <c r="S236" s="11"/>
      <c r="T236" s="11"/>
      <c r="U236" s="11"/>
      <c r="V236" s="11"/>
      <c r="W236" s="11"/>
      <c r="X236" s="11"/>
      <c r="Y236" s="11"/>
      <c r="Z236" s="11"/>
    </row>
    <row r="237" ht="15.75" customHeight="1">
      <c r="A237" s="16"/>
      <c r="B237" s="16"/>
      <c r="C237" s="18"/>
      <c r="D237" s="18"/>
      <c r="E237" s="18"/>
      <c r="F237" s="20"/>
      <c r="G237" s="18"/>
      <c r="H237" s="18"/>
      <c r="I237" s="18"/>
      <c r="J237" s="18"/>
      <c r="K237" s="18"/>
      <c r="L237" s="21"/>
      <c r="M237" s="21"/>
      <c r="N237" s="11"/>
      <c r="O237" s="11"/>
      <c r="P237" s="11"/>
      <c r="Q237" s="11"/>
      <c r="R237" s="11"/>
      <c r="S237" s="11"/>
      <c r="T237" s="11"/>
      <c r="U237" s="11"/>
      <c r="V237" s="11"/>
      <c r="W237" s="11"/>
      <c r="X237" s="11"/>
      <c r="Y237" s="11"/>
      <c r="Z237" s="11"/>
    </row>
    <row r="238" ht="15.75" customHeight="1">
      <c r="A238" s="16"/>
      <c r="B238" s="16"/>
      <c r="C238" s="18"/>
      <c r="D238" s="18"/>
      <c r="E238" s="18"/>
      <c r="F238" s="20"/>
      <c r="G238" s="18"/>
      <c r="H238" s="18"/>
      <c r="I238" s="18"/>
      <c r="J238" s="18"/>
      <c r="K238" s="18"/>
      <c r="L238" s="21"/>
      <c r="M238" s="21"/>
      <c r="N238" s="11"/>
      <c r="O238" s="11"/>
      <c r="P238" s="11"/>
      <c r="Q238" s="11"/>
      <c r="R238" s="11"/>
      <c r="S238" s="11"/>
      <c r="T238" s="11"/>
      <c r="U238" s="11"/>
      <c r="V238" s="11"/>
      <c r="W238" s="11"/>
      <c r="X238" s="11"/>
      <c r="Y238" s="11"/>
      <c r="Z238" s="11"/>
    </row>
    <row r="239" ht="15.75" customHeight="1">
      <c r="A239" s="16"/>
      <c r="B239" s="16"/>
      <c r="C239" s="18"/>
      <c r="D239" s="18"/>
      <c r="E239" s="18"/>
      <c r="F239" s="20"/>
      <c r="G239" s="18"/>
      <c r="H239" s="18"/>
      <c r="I239" s="18"/>
      <c r="J239" s="18"/>
      <c r="K239" s="18"/>
      <c r="L239" s="21"/>
      <c r="M239" s="21"/>
      <c r="N239" s="11"/>
      <c r="O239" s="11"/>
      <c r="P239" s="11"/>
      <c r="Q239" s="11"/>
      <c r="R239" s="11"/>
      <c r="S239" s="11"/>
      <c r="T239" s="11"/>
      <c r="U239" s="11"/>
      <c r="V239" s="11"/>
      <c r="W239" s="11"/>
      <c r="X239" s="11"/>
      <c r="Y239" s="11"/>
      <c r="Z239" s="11"/>
    </row>
    <row r="240" ht="15.75" customHeight="1">
      <c r="A240" s="16"/>
      <c r="B240" s="16"/>
      <c r="C240" s="18"/>
      <c r="D240" s="18"/>
      <c r="E240" s="18"/>
      <c r="F240" s="20"/>
      <c r="G240" s="18"/>
      <c r="H240" s="18"/>
      <c r="I240" s="18"/>
      <c r="J240" s="18"/>
      <c r="K240" s="18"/>
      <c r="L240" s="21"/>
      <c r="M240" s="21"/>
      <c r="N240" s="11"/>
      <c r="O240" s="11"/>
      <c r="P240" s="11"/>
      <c r="Q240" s="11"/>
      <c r="R240" s="11"/>
      <c r="S240" s="11"/>
      <c r="T240" s="11"/>
      <c r="U240" s="11"/>
      <c r="V240" s="11"/>
      <c r="W240" s="11"/>
      <c r="X240" s="11"/>
      <c r="Y240" s="11"/>
      <c r="Z240" s="11"/>
    </row>
    <row r="241" ht="15.75" customHeight="1">
      <c r="A241" s="16"/>
      <c r="B241" s="16"/>
      <c r="C241" s="18"/>
      <c r="D241" s="18"/>
      <c r="E241" s="18"/>
      <c r="F241" s="20"/>
      <c r="G241" s="18"/>
      <c r="H241" s="18"/>
      <c r="I241" s="18"/>
      <c r="J241" s="18"/>
      <c r="K241" s="18"/>
      <c r="L241" s="21"/>
      <c r="M241" s="21"/>
      <c r="N241" s="11"/>
      <c r="O241" s="11"/>
      <c r="P241" s="11"/>
      <c r="Q241" s="11"/>
      <c r="R241" s="11"/>
      <c r="S241" s="11"/>
      <c r="T241" s="11"/>
      <c r="U241" s="11"/>
      <c r="V241" s="11"/>
      <c r="W241" s="11"/>
      <c r="X241" s="11"/>
      <c r="Y241" s="11"/>
      <c r="Z241" s="11"/>
    </row>
    <row r="242" ht="15.75" customHeight="1">
      <c r="A242" s="16"/>
      <c r="B242" s="16"/>
      <c r="C242" s="18"/>
      <c r="D242" s="18"/>
      <c r="E242" s="18"/>
      <c r="F242" s="20"/>
      <c r="G242" s="18"/>
      <c r="H242" s="18"/>
      <c r="I242" s="18"/>
      <c r="J242" s="18"/>
      <c r="K242" s="18"/>
      <c r="L242" s="21"/>
      <c r="M242" s="21"/>
      <c r="N242" s="11"/>
      <c r="O242" s="11"/>
      <c r="P242" s="11"/>
      <c r="Q242" s="11"/>
      <c r="R242" s="11"/>
      <c r="S242" s="11"/>
      <c r="T242" s="11"/>
      <c r="U242" s="11"/>
      <c r="V242" s="11"/>
      <c r="W242" s="11"/>
      <c r="X242" s="11"/>
      <c r="Y242" s="11"/>
      <c r="Z242" s="11"/>
    </row>
    <row r="243" ht="15.75" customHeight="1">
      <c r="A243" s="16"/>
      <c r="B243" s="16"/>
      <c r="C243" s="18"/>
      <c r="D243" s="18"/>
      <c r="E243" s="18"/>
      <c r="F243" s="20"/>
      <c r="G243" s="18"/>
      <c r="H243" s="18"/>
      <c r="I243" s="18"/>
      <c r="J243" s="18"/>
      <c r="K243" s="18"/>
      <c r="L243" s="21"/>
      <c r="M243" s="21"/>
      <c r="N243" s="11"/>
      <c r="O243" s="11"/>
      <c r="P243" s="11"/>
      <c r="Q243" s="11"/>
      <c r="R243" s="11"/>
      <c r="S243" s="11"/>
      <c r="T243" s="11"/>
      <c r="U243" s="11"/>
      <c r="V243" s="11"/>
      <c r="W243" s="11"/>
      <c r="X243" s="11"/>
      <c r="Y243" s="11"/>
      <c r="Z243" s="11"/>
    </row>
    <row r="244" ht="15.75" customHeight="1">
      <c r="A244" s="16"/>
      <c r="B244" s="16"/>
      <c r="C244" s="18"/>
      <c r="D244" s="18"/>
      <c r="E244" s="18"/>
      <c r="F244" s="20"/>
      <c r="G244" s="18"/>
      <c r="H244" s="18"/>
      <c r="I244" s="18"/>
      <c r="J244" s="18"/>
      <c r="K244" s="18"/>
      <c r="L244" s="21"/>
      <c r="M244" s="21"/>
      <c r="N244" s="11"/>
      <c r="O244" s="11"/>
      <c r="P244" s="11"/>
      <c r="Q244" s="11"/>
      <c r="R244" s="11"/>
      <c r="S244" s="11"/>
      <c r="T244" s="11"/>
      <c r="U244" s="11"/>
      <c r="V244" s="11"/>
      <c r="W244" s="11"/>
      <c r="X244" s="11"/>
      <c r="Y244" s="11"/>
      <c r="Z244" s="11"/>
    </row>
    <row r="245" ht="15.75" customHeight="1">
      <c r="A245" s="16"/>
      <c r="B245" s="16"/>
      <c r="C245" s="18"/>
      <c r="D245" s="18"/>
      <c r="E245" s="18"/>
      <c r="F245" s="20"/>
      <c r="G245" s="18"/>
      <c r="H245" s="18"/>
      <c r="I245" s="18"/>
      <c r="J245" s="18"/>
      <c r="K245" s="18"/>
      <c r="L245" s="21"/>
      <c r="M245" s="21"/>
      <c r="N245" s="11"/>
      <c r="O245" s="11"/>
      <c r="P245" s="11"/>
      <c r="Q245" s="11"/>
      <c r="R245" s="11"/>
      <c r="S245" s="11"/>
      <c r="T245" s="11"/>
      <c r="U245" s="11"/>
      <c r="V245" s="11"/>
      <c r="W245" s="11"/>
      <c r="X245" s="11"/>
      <c r="Y245" s="11"/>
      <c r="Z245" s="11"/>
    </row>
    <row r="246" ht="15.75" customHeight="1">
      <c r="A246" s="16"/>
      <c r="B246" s="16"/>
      <c r="C246" s="18"/>
      <c r="D246" s="18"/>
      <c r="E246" s="18"/>
      <c r="F246" s="20"/>
      <c r="G246" s="18"/>
      <c r="H246" s="18"/>
      <c r="I246" s="18"/>
      <c r="J246" s="18"/>
      <c r="K246" s="18"/>
      <c r="L246" s="21"/>
      <c r="M246" s="21"/>
      <c r="N246" s="11"/>
      <c r="O246" s="11"/>
      <c r="P246" s="11"/>
      <c r="Q246" s="11"/>
      <c r="R246" s="11"/>
      <c r="S246" s="11"/>
      <c r="T246" s="11"/>
      <c r="U246" s="11"/>
      <c r="V246" s="11"/>
      <c r="W246" s="11"/>
      <c r="X246" s="11"/>
      <c r="Y246" s="11"/>
      <c r="Z246" s="11"/>
    </row>
    <row r="247" ht="15.75" customHeight="1">
      <c r="A247" s="16"/>
      <c r="B247" s="16"/>
      <c r="C247" s="18"/>
      <c r="D247" s="18"/>
      <c r="E247" s="18"/>
      <c r="F247" s="20"/>
      <c r="G247" s="18"/>
      <c r="H247" s="18"/>
      <c r="I247" s="18"/>
      <c r="J247" s="18"/>
      <c r="K247" s="18"/>
      <c r="L247" s="21"/>
      <c r="M247" s="21"/>
      <c r="N247" s="11"/>
      <c r="O247" s="11"/>
      <c r="P247" s="11"/>
      <c r="Q247" s="11"/>
      <c r="R247" s="11"/>
      <c r="S247" s="11"/>
      <c r="T247" s="11"/>
      <c r="U247" s="11"/>
      <c r="V247" s="11"/>
      <c r="W247" s="11"/>
      <c r="X247" s="11"/>
      <c r="Y247" s="11"/>
      <c r="Z247" s="11"/>
    </row>
    <row r="248" ht="15.75" customHeight="1">
      <c r="A248" s="16"/>
      <c r="B248" s="16"/>
      <c r="C248" s="18"/>
      <c r="D248" s="18"/>
      <c r="E248" s="18"/>
      <c r="F248" s="20"/>
      <c r="G248" s="18"/>
      <c r="H248" s="18"/>
      <c r="I248" s="18"/>
      <c r="J248" s="18"/>
      <c r="K248" s="18"/>
      <c r="L248" s="21"/>
      <c r="M248" s="21"/>
      <c r="N248" s="11"/>
      <c r="O248" s="11"/>
      <c r="P248" s="11"/>
      <c r="Q248" s="11"/>
      <c r="R248" s="11"/>
      <c r="S248" s="11"/>
      <c r="T248" s="11"/>
      <c r="U248" s="11"/>
      <c r="V248" s="11"/>
      <c r="W248" s="11"/>
      <c r="X248" s="11"/>
      <c r="Y248" s="11"/>
      <c r="Z248" s="11"/>
    </row>
    <row r="249" ht="15.75" customHeight="1">
      <c r="A249" s="16"/>
      <c r="B249" s="16"/>
      <c r="C249" s="18"/>
      <c r="D249" s="18"/>
      <c r="E249" s="18"/>
      <c r="F249" s="20"/>
      <c r="G249" s="18"/>
      <c r="H249" s="18"/>
      <c r="I249" s="18"/>
      <c r="J249" s="18"/>
      <c r="K249" s="18"/>
      <c r="L249" s="21"/>
      <c r="M249" s="21"/>
      <c r="N249" s="11"/>
      <c r="O249" s="11"/>
      <c r="P249" s="11"/>
      <c r="Q249" s="11"/>
      <c r="R249" s="11"/>
      <c r="S249" s="11"/>
      <c r="T249" s="11"/>
      <c r="U249" s="11"/>
      <c r="V249" s="11"/>
      <c r="W249" s="11"/>
      <c r="X249" s="11"/>
      <c r="Y249" s="11"/>
      <c r="Z249" s="11"/>
    </row>
    <row r="250" ht="15.75" customHeight="1">
      <c r="A250" s="16"/>
      <c r="B250" s="16"/>
      <c r="C250" s="18"/>
      <c r="D250" s="18"/>
      <c r="E250" s="18"/>
      <c r="F250" s="20"/>
      <c r="G250" s="18"/>
      <c r="H250" s="18"/>
      <c r="I250" s="18"/>
      <c r="J250" s="18"/>
      <c r="K250" s="18"/>
      <c r="L250" s="21"/>
      <c r="M250" s="21"/>
      <c r="N250" s="11"/>
      <c r="O250" s="11"/>
      <c r="P250" s="11"/>
      <c r="Q250" s="11"/>
      <c r="R250" s="11"/>
      <c r="S250" s="11"/>
      <c r="T250" s="11"/>
      <c r="U250" s="11"/>
      <c r="V250" s="11"/>
      <c r="W250" s="11"/>
      <c r="X250" s="11"/>
      <c r="Y250" s="11"/>
      <c r="Z250" s="11"/>
    </row>
    <row r="251" ht="15.75" customHeight="1">
      <c r="A251" s="16"/>
      <c r="B251" s="16"/>
      <c r="C251" s="18"/>
      <c r="D251" s="18"/>
      <c r="E251" s="18"/>
      <c r="F251" s="20"/>
      <c r="G251" s="18"/>
      <c r="H251" s="18"/>
      <c r="I251" s="18"/>
      <c r="J251" s="18"/>
      <c r="K251" s="18"/>
      <c r="L251" s="21"/>
      <c r="M251" s="21"/>
      <c r="N251" s="11"/>
      <c r="O251" s="11"/>
      <c r="P251" s="11"/>
      <c r="Q251" s="11"/>
      <c r="R251" s="11"/>
      <c r="S251" s="11"/>
      <c r="T251" s="11"/>
      <c r="U251" s="11"/>
      <c r="V251" s="11"/>
      <c r="W251" s="11"/>
      <c r="X251" s="11"/>
      <c r="Y251" s="11"/>
      <c r="Z251" s="11"/>
    </row>
    <row r="252" ht="15.75" customHeight="1">
      <c r="A252" s="16"/>
      <c r="B252" s="16"/>
      <c r="C252" s="18"/>
      <c r="D252" s="18"/>
      <c r="E252" s="18"/>
      <c r="F252" s="20"/>
      <c r="G252" s="18"/>
      <c r="H252" s="18"/>
      <c r="I252" s="18"/>
      <c r="J252" s="18"/>
      <c r="K252" s="18"/>
      <c r="L252" s="21"/>
      <c r="M252" s="21"/>
      <c r="N252" s="11"/>
      <c r="O252" s="11"/>
      <c r="P252" s="11"/>
      <c r="Q252" s="11"/>
      <c r="R252" s="11"/>
      <c r="S252" s="11"/>
      <c r="T252" s="11"/>
      <c r="U252" s="11"/>
      <c r="V252" s="11"/>
      <c r="W252" s="11"/>
      <c r="X252" s="11"/>
      <c r="Y252" s="11"/>
      <c r="Z252" s="11"/>
    </row>
    <row r="253" ht="15.75" customHeight="1">
      <c r="A253" s="16"/>
      <c r="B253" s="16"/>
      <c r="C253" s="18"/>
      <c r="D253" s="18"/>
      <c r="E253" s="18"/>
      <c r="F253" s="20"/>
      <c r="G253" s="18"/>
      <c r="H253" s="18"/>
      <c r="I253" s="18"/>
      <c r="J253" s="18"/>
      <c r="K253" s="18"/>
      <c r="L253" s="21"/>
      <c r="M253" s="21"/>
      <c r="N253" s="11"/>
      <c r="O253" s="11"/>
      <c r="P253" s="11"/>
      <c r="Q253" s="11"/>
      <c r="R253" s="11"/>
      <c r="S253" s="11"/>
      <c r="T253" s="11"/>
      <c r="U253" s="11"/>
      <c r="V253" s="11"/>
      <c r="W253" s="11"/>
      <c r="X253" s="11"/>
      <c r="Y253" s="11"/>
      <c r="Z253" s="11"/>
    </row>
    <row r="254" ht="15.75" customHeight="1">
      <c r="A254" s="16"/>
      <c r="B254" s="16"/>
      <c r="C254" s="18"/>
      <c r="D254" s="18"/>
      <c r="E254" s="18"/>
      <c r="F254" s="20"/>
      <c r="G254" s="18"/>
      <c r="H254" s="18"/>
      <c r="I254" s="18"/>
      <c r="J254" s="18"/>
      <c r="K254" s="18"/>
      <c r="L254" s="21"/>
      <c r="M254" s="21"/>
      <c r="N254" s="11"/>
      <c r="O254" s="11"/>
      <c r="P254" s="11"/>
      <c r="Q254" s="11"/>
      <c r="R254" s="11"/>
      <c r="S254" s="11"/>
      <c r="T254" s="11"/>
      <c r="U254" s="11"/>
      <c r="V254" s="11"/>
      <c r="W254" s="11"/>
      <c r="X254" s="11"/>
      <c r="Y254" s="11"/>
      <c r="Z254" s="11"/>
    </row>
    <row r="255" ht="15.75" customHeight="1">
      <c r="A255" s="16"/>
      <c r="B255" s="16"/>
      <c r="C255" s="18"/>
      <c r="D255" s="18"/>
      <c r="E255" s="18"/>
      <c r="F255" s="20"/>
      <c r="G255" s="18"/>
      <c r="H255" s="18"/>
      <c r="I255" s="18"/>
      <c r="J255" s="18"/>
      <c r="K255" s="18"/>
      <c r="L255" s="21"/>
      <c r="M255" s="21"/>
      <c r="N255" s="11"/>
      <c r="O255" s="11"/>
      <c r="P255" s="11"/>
      <c r="Q255" s="11"/>
      <c r="R255" s="11"/>
      <c r="S255" s="11"/>
      <c r="T255" s="11"/>
      <c r="U255" s="11"/>
      <c r="V255" s="11"/>
      <c r="W255" s="11"/>
      <c r="X255" s="11"/>
      <c r="Y255" s="11"/>
      <c r="Z255" s="11"/>
    </row>
    <row r="256" ht="15.75" customHeight="1">
      <c r="A256" s="16"/>
      <c r="B256" s="16"/>
      <c r="C256" s="18"/>
      <c r="D256" s="18"/>
      <c r="E256" s="18"/>
      <c r="F256" s="20"/>
      <c r="G256" s="18"/>
      <c r="H256" s="18"/>
      <c r="I256" s="18"/>
      <c r="J256" s="18"/>
      <c r="K256" s="18"/>
      <c r="L256" s="21"/>
      <c r="M256" s="21"/>
      <c r="N256" s="11"/>
      <c r="O256" s="11"/>
      <c r="P256" s="11"/>
      <c r="Q256" s="11"/>
      <c r="R256" s="11"/>
      <c r="S256" s="11"/>
      <c r="T256" s="11"/>
      <c r="U256" s="11"/>
      <c r="V256" s="11"/>
      <c r="W256" s="11"/>
      <c r="X256" s="11"/>
      <c r="Y256" s="11"/>
      <c r="Z256" s="11"/>
    </row>
    <row r="257" ht="15.75" customHeight="1">
      <c r="A257" s="16"/>
      <c r="B257" s="16"/>
      <c r="C257" s="18"/>
      <c r="D257" s="18"/>
      <c r="E257" s="18"/>
      <c r="F257" s="20"/>
      <c r="G257" s="18"/>
      <c r="H257" s="18"/>
      <c r="I257" s="18"/>
      <c r="J257" s="18"/>
      <c r="K257" s="18"/>
      <c r="L257" s="21"/>
      <c r="M257" s="21"/>
      <c r="N257" s="11"/>
      <c r="O257" s="11"/>
      <c r="P257" s="11"/>
      <c r="Q257" s="11"/>
      <c r="R257" s="11"/>
      <c r="S257" s="11"/>
      <c r="T257" s="11"/>
      <c r="U257" s="11"/>
      <c r="V257" s="11"/>
      <c r="W257" s="11"/>
      <c r="X257" s="11"/>
      <c r="Y257" s="11"/>
      <c r="Z257" s="11"/>
    </row>
    <row r="258" ht="15.75" customHeight="1">
      <c r="A258" s="16"/>
      <c r="B258" s="16"/>
      <c r="C258" s="18"/>
      <c r="D258" s="18"/>
      <c r="E258" s="18"/>
      <c r="F258" s="20"/>
      <c r="G258" s="18"/>
      <c r="H258" s="18"/>
      <c r="I258" s="18"/>
      <c r="J258" s="18"/>
      <c r="K258" s="18"/>
      <c r="L258" s="21"/>
      <c r="M258" s="21"/>
      <c r="N258" s="11"/>
      <c r="O258" s="11"/>
      <c r="P258" s="11"/>
      <c r="Q258" s="11"/>
      <c r="R258" s="11"/>
      <c r="S258" s="11"/>
      <c r="T258" s="11"/>
      <c r="U258" s="11"/>
      <c r="V258" s="11"/>
      <c r="W258" s="11"/>
      <c r="X258" s="11"/>
      <c r="Y258" s="11"/>
      <c r="Z258" s="11"/>
    </row>
    <row r="259" ht="15.75" customHeight="1">
      <c r="A259" s="16"/>
      <c r="B259" s="16"/>
      <c r="C259" s="18"/>
      <c r="D259" s="18"/>
      <c r="E259" s="18"/>
      <c r="F259" s="20"/>
      <c r="G259" s="18"/>
      <c r="H259" s="18"/>
      <c r="I259" s="18"/>
      <c r="J259" s="18"/>
      <c r="K259" s="18"/>
      <c r="L259" s="21"/>
      <c r="M259" s="21"/>
      <c r="N259" s="11"/>
      <c r="O259" s="11"/>
      <c r="P259" s="11"/>
      <c r="Q259" s="11"/>
      <c r="R259" s="11"/>
      <c r="S259" s="11"/>
      <c r="T259" s="11"/>
      <c r="U259" s="11"/>
      <c r="V259" s="11"/>
      <c r="W259" s="11"/>
      <c r="X259" s="11"/>
      <c r="Y259" s="11"/>
      <c r="Z259" s="11"/>
    </row>
    <row r="260" ht="15.75" customHeight="1">
      <c r="A260" s="16"/>
      <c r="B260" s="16"/>
      <c r="C260" s="18"/>
      <c r="D260" s="18"/>
      <c r="E260" s="18"/>
      <c r="F260" s="20"/>
      <c r="G260" s="18"/>
      <c r="H260" s="18"/>
      <c r="I260" s="18"/>
      <c r="J260" s="18"/>
      <c r="K260" s="18"/>
      <c r="L260" s="21"/>
      <c r="M260" s="21"/>
      <c r="N260" s="11"/>
      <c r="O260" s="11"/>
      <c r="P260" s="11"/>
      <c r="Q260" s="11"/>
      <c r="R260" s="11"/>
      <c r="S260" s="11"/>
      <c r="T260" s="11"/>
      <c r="U260" s="11"/>
      <c r="V260" s="11"/>
      <c r="W260" s="11"/>
      <c r="X260" s="11"/>
      <c r="Y260" s="11"/>
      <c r="Z260" s="11"/>
    </row>
    <row r="261" ht="15.75" customHeight="1">
      <c r="A261" s="16"/>
      <c r="B261" s="16"/>
      <c r="C261" s="18"/>
      <c r="D261" s="18"/>
      <c r="E261" s="18"/>
      <c r="F261" s="20"/>
      <c r="G261" s="18"/>
      <c r="H261" s="18"/>
      <c r="I261" s="18"/>
      <c r="J261" s="18"/>
      <c r="K261" s="18"/>
      <c r="L261" s="21"/>
      <c r="M261" s="21"/>
      <c r="N261" s="11"/>
      <c r="O261" s="11"/>
      <c r="P261" s="11"/>
      <c r="Q261" s="11"/>
      <c r="R261" s="11"/>
      <c r="S261" s="11"/>
      <c r="T261" s="11"/>
      <c r="U261" s="11"/>
      <c r="V261" s="11"/>
      <c r="W261" s="11"/>
      <c r="X261" s="11"/>
      <c r="Y261" s="11"/>
      <c r="Z261" s="11"/>
    </row>
    <row r="262" ht="15.75" customHeight="1">
      <c r="A262" s="16"/>
      <c r="B262" s="16"/>
      <c r="C262" s="18"/>
      <c r="D262" s="18"/>
      <c r="E262" s="18"/>
      <c r="F262" s="20"/>
      <c r="G262" s="18"/>
      <c r="H262" s="18"/>
      <c r="I262" s="18"/>
      <c r="J262" s="18"/>
      <c r="K262" s="18"/>
      <c r="L262" s="21"/>
      <c r="M262" s="21"/>
      <c r="N262" s="11"/>
      <c r="O262" s="11"/>
      <c r="P262" s="11"/>
      <c r="Q262" s="11"/>
      <c r="R262" s="11"/>
      <c r="S262" s="11"/>
      <c r="T262" s="11"/>
      <c r="U262" s="11"/>
      <c r="V262" s="11"/>
      <c r="W262" s="11"/>
      <c r="X262" s="11"/>
      <c r="Y262" s="11"/>
      <c r="Z262" s="11"/>
    </row>
    <row r="263" ht="15.75" customHeight="1">
      <c r="A263" s="16"/>
      <c r="B263" s="16"/>
      <c r="C263" s="18"/>
      <c r="D263" s="18"/>
      <c r="E263" s="18"/>
      <c r="F263" s="20"/>
      <c r="G263" s="18"/>
      <c r="H263" s="18"/>
      <c r="I263" s="18"/>
      <c r="J263" s="18"/>
      <c r="K263" s="18"/>
      <c r="L263" s="21"/>
      <c r="M263" s="21"/>
      <c r="N263" s="11"/>
      <c r="O263" s="11"/>
      <c r="P263" s="11"/>
      <c r="Q263" s="11"/>
      <c r="R263" s="11"/>
      <c r="S263" s="11"/>
      <c r="T263" s="11"/>
      <c r="U263" s="11"/>
      <c r="V263" s="11"/>
      <c r="W263" s="11"/>
      <c r="X263" s="11"/>
      <c r="Y263" s="11"/>
      <c r="Z263" s="11"/>
    </row>
    <row r="264" ht="15.75" customHeight="1">
      <c r="A264" s="16"/>
      <c r="B264" s="16"/>
      <c r="C264" s="18"/>
      <c r="D264" s="18"/>
      <c r="E264" s="18"/>
      <c r="F264" s="20"/>
      <c r="G264" s="18"/>
      <c r="H264" s="18"/>
      <c r="I264" s="18"/>
      <c r="J264" s="18"/>
      <c r="K264" s="18"/>
      <c r="L264" s="21"/>
      <c r="M264" s="21"/>
      <c r="N264" s="11"/>
      <c r="O264" s="11"/>
      <c r="P264" s="11"/>
      <c r="Q264" s="11"/>
      <c r="R264" s="11"/>
      <c r="S264" s="11"/>
      <c r="T264" s="11"/>
      <c r="U264" s="11"/>
      <c r="V264" s="11"/>
      <c r="W264" s="11"/>
      <c r="X264" s="11"/>
      <c r="Y264" s="11"/>
      <c r="Z264" s="11"/>
    </row>
    <row r="265" ht="15.75" customHeight="1">
      <c r="A265" s="16"/>
      <c r="B265" s="16"/>
      <c r="C265" s="18"/>
      <c r="D265" s="18"/>
      <c r="E265" s="18"/>
      <c r="F265" s="20"/>
      <c r="G265" s="18"/>
      <c r="H265" s="18"/>
      <c r="I265" s="18"/>
      <c r="J265" s="18"/>
      <c r="K265" s="18"/>
      <c r="L265" s="21"/>
      <c r="M265" s="21"/>
      <c r="N265" s="11"/>
      <c r="O265" s="11"/>
      <c r="P265" s="11"/>
      <c r="Q265" s="11"/>
      <c r="R265" s="11"/>
      <c r="S265" s="11"/>
      <c r="T265" s="11"/>
      <c r="U265" s="11"/>
      <c r="V265" s="11"/>
      <c r="W265" s="11"/>
      <c r="X265" s="11"/>
      <c r="Y265" s="11"/>
      <c r="Z265" s="11"/>
    </row>
    <row r="266" ht="15.75" customHeight="1">
      <c r="A266" s="16"/>
      <c r="B266" s="16"/>
      <c r="C266" s="18"/>
      <c r="D266" s="18"/>
      <c r="E266" s="18"/>
      <c r="F266" s="20"/>
      <c r="G266" s="18"/>
      <c r="H266" s="18"/>
      <c r="I266" s="18"/>
      <c r="J266" s="18"/>
      <c r="K266" s="18"/>
      <c r="L266" s="21"/>
      <c r="M266" s="21"/>
      <c r="N266" s="11"/>
      <c r="O266" s="11"/>
      <c r="P266" s="11"/>
      <c r="Q266" s="11"/>
      <c r="R266" s="11"/>
      <c r="S266" s="11"/>
      <c r="T266" s="11"/>
      <c r="U266" s="11"/>
      <c r="V266" s="11"/>
      <c r="W266" s="11"/>
      <c r="X266" s="11"/>
      <c r="Y266" s="11"/>
      <c r="Z266" s="11"/>
    </row>
    <row r="267" ht="15.75" customHeight="1">
      <c r="A267" s="16"/>
      <c r="B267" s="16"/>
      <c r="C267" s="18"/>
      <c r="D267" s="18"/>
      <c r="E267" s="18"/>
      <c r="F267" s="20"/>
      <c r="G267" s="18"/>
      <c r="H267" s="18"/>
      <c r="I267" s="18"/>
      <c r="J267" s="18"/>
      <c r="K267" s="18"/>
      <c r="L267" s="21"/>
      <c r="M267" s="21"/>
      <c r="N267" s="11"/>
      <c r="O267" s="11"/>
      <c r="P267" s="11"/>
      <c r="Q267" s="11"/>
      <c r="R267" s="11"/>
      <c r="S267" s="11"/>
      <c r="T267" s="11"/>
      <c r="U267" s="11"/>
      <c r="V267" s="11"/>
      <c r="W267" s="11"/>
      <c r="X267" s="11"/>
      <c r="Y267" s="11"/>
      <c r="Z267" s="11"/>
    </row>
    <row r="268" ht="15.75" customHeight="1">
      <c r="A268" s="16"/>
      <c r="B268" s="16"/>
      <c r="C268" s="18"/>
      <c r="D268" s="18"/>
      <c r="E268" s="18"/>
      <c r="F268" s="20"/>
      <c r="G268" s="18"/>
      <c r="H268" s="18"/>
      <c r="I268" s="18"/>
      <c r="J268" s="18"/>
      <c r="K268" s="18"/>
      <c r="L268" s="21"/>
      <c r="M268" s="21"/>
      <c r="N268" s="11"/>
      <c r="O268" s="11"/>
      <c r="P268" s="11"/>
      <c r="Q268" s="11"/>
      <c r="R268" s="11"/>
      <c r="S268" s="11"/>
      <c r="T268" s="11"/>
      <c r="U268" s="11"/>
      <c r="V268" s="11"/>
      <c r="W268" s="11"/>
      <c r="X268" s="11"/>
      <c r="Y268" s="11"/>
      <c r="Z268" s="11"/>
    </row>
    <row r="269" ht="15.75" customHeight="1">
      <c r="A269" s="16"/>
      <c r="B269" s="16"/>
      <c r="C269" s="18"/>
      <c r="D269" s="18"/>
      <c r="E269" s="18"/>
      <c r="F269" s="20"/>
      <c r="G269" s="18"/>
      <c r="H269" s="18"/>
      <c r="I269" s="18"/>
      <c r="J269" s="18"/>
      <c r="K269" s="18"/>
      <c r="L269" s="21"/>
      <c r="M269" s="21"/>
      <c r="N269" s="11"/>
      <c r="O269" s="11"/>
      <c r="P269" s="11"/>
      <c r="Q269" s="11"/>
      <c r="R269" s="11"/>
      <c r="S269" s="11"/>
      <c r="T269" s="11"/>
      <c r="U269" s="11"/>
      <c r="V269" s="11"/>
      <c r="W269" s="11"/>
      <c r="X269" s="11"/>
      <c r="Y269" s="11"/>
      <c r="Z269" s="11"/>
    </row>
    <row r="270" ht="15.75" customHeight="1">
      <c r="A270" s="16"/>
      <c r="B270" s="16"/>
      <c r="C270" s="18"/>
      <c r="D270" s="18"/>
      <c r="E270" s="18"/>
      <c r="F270" s="20"/>
      <c r="G270" s="18"/>
      <c r="H270" s="18"/>
      <c r="I270" s="18"/>
      <c r="J270" s="18"/>
      <c r="K270" s="18"/>
      <c r="L270" s="21"/>
      <c r="M270" s="21"/>
      <c r="N270" s="11"/>
      <c r="O270" s="11"/>
      <c r="P270" s="11"/>
      <c r="Q270" s="11"/>
      <c r="R270" s="11"/>
      <c r="S270" s="11"/>
      <c r="T270" s="11"/>
      <c r="U270" s="11"/>
      <c r="V270" s="11"/>
      <c r="W270" s="11"/>
      <c r="X270" s="11"/>
      <c r="Y270" s="11"/>
      <c r="Z270" s="11"/>
    </row>
    <row r="271" ht="15.75" customHeight="1">
      <c r="A271" s="16"/>
      <c r="B271" s="16"/>
      <c r="C271" s="18"/>
      <c r="D271" s="18"/>
      <c r="E271" s="18"/>
      <c r="F271" s="20"/>
      <c r="G271" s="18"/>
      <c r="H271" s="18"/>
      <c r="I271" s="18"/>
      <c r="J271" s="18"/>
      <c r="K271" s="18"/>
      <c r="L271" s="21"/>
      <c r="M271" s="21"/>
      <c r="N271" s="11"/>
      <c r="O271" s="11"/>
      <c r="P271" s="11"/>
      <c r="Q271" s="11"/>
      <c r="R271" s="11"/>
      <c r="S271" s="11"/>
      <c r="T271" s="11"/>
      <c r="U271" s="11"/>
      <c r="V271" s="11"/>
      <c r="W271" s="11"/>
      <c r="X271" s="11"/>
      <c r="Y271" s="11"/>
      <c r="Z271" s="11"/>
    </row>
    <row r="272" ht="15.75" customHeight="1">
      <c r="A272" s="16"/>
      <c r="B272" s="16"/>
      <c r="C272" s="18"/>
      <c r="D272" s="18"/>
      <c r="E272" s="18"/>
      <c r="F272" s="20"/>
      <c r="G272" s="18"/>
      <c r="H272" s="18"/>
      <c r="I272" s="18"/>
      <c r="J272" s="18"/>
      <c r="K272" s="18"/>
      <c r="L272" s="21"/>
      <c r="M272" s="21"/>
      <c r="N272" s="11"/>
      <c r="O272" s="11"/>
      <c r="P272" s="11"/>
      <c r="Q272" s="11"/>
      <c r="R272" s="11"/>
      <c r="S272" s="11"/>
      <c r="T272" s="11"/>
      <c r="U272" s="11"/>
      <c r="V272" s="11"/>
      <c r="W272" s="11"/>
      <c r="X272" s="11"/>
      <c r="Y272" s="11"/>
      <c r="Z272" s="11"/>
    </row>
    <row r="273" ht="15.75" customHeight="1">
      <c r="A273" s="16"/>
      <c r="B273" s="16"/>
      <c r="C273" s="18"/>
      <c r="D273" s="18"/>
      <c r="E273" s="18"/>
      <c r="F273" s="20"/>
      <c r="G273" s="18"/>
      <c r="H273" s="18"/>
      <c r="I273" s="18"/>
      <c r="J273" s="18"/>
      <c r="K273" s="18"/>
      <c r="L273" s="21"/>
      <c r="M273" s="21"/>
      <c r="N273" s="11"/>
      <c r="O273" s="11"/>
      <c r="P273" s="11"/>
      <c r="Q273" s="11"/>
      <c r="R273" s="11"/>
      <c r="S273" s="11"/>
      <c r="T273" s="11"/>
      <c r="U273" s="11"/>
      <c r="V273" s="11"/>
      <c r="W273" s="11"/>
      <c r="X273" s="11"/>
      <c r="Y273" s="11"/>
      <c r="Z273" s="11"/>
    </row>
    <row r="274" ht="15.75" customHeight="1">
      <c r="A274" s="16"/>
      <c r="B274" s="16"/>
      <c r="C274" s="18"/>
      <c r="D274" s="18"/>
      <c r="E274" s="18"/>
      <c r="F274" s="20"/>
      <c r="G274" s="18"/>
      <c r="H274" s="18"/>
      <c r="I274" s="18"/>
      <c r="J274" s="18"/>
      <c r="K274" s="18"/>
      <c r="L274" s="21"/>
      <c r="M274" s="21"/>
      <c r="N274" s="11"/>
      <c r="O274" s="11"/>
      <c r="P274" s="11"/>
      <c r="Q274" s="11"/>
      <c r="R274" s="11"/>
      <c r="S274" s="11"/>
      <c r="T274" s="11"/>
      <c r="U274" s="11"/>
      <c r="V274" s="11"/>
      <c r="W274" s="11"/>
      <c r="X274" s="11"/>
      <c r="Y274" s="11"/>
      <c r="Z274" s="11"/>
    </row>
    <row r="275" ht="15.75" customHeight="1">
      <c r="A275" s="16"/>
      <c r="B275" s="16"/>
      <c r="C275" s="18"/>
      <c r="D275" s="18"/>
      <c r="E275" s="18"/>
      <c r="F275" s="20"/>
      <c r="G275" s="18"/>
      <c r="H275" s="18"/>
      <c r="I275" s="18"/>
      <c r="J275" s="18"/>
      <c r="K275" s="18"/>
      <c r="L275" s="21"/>
      <c r="M275" s="21"/>
      <c r="N275" s="11"/>
      <c r="O275" s="11"/>
      <c r="P275" s="11"/>
      <c r="Q275" s="11"/>
      <c r="R275" s="11"/>
      <c r="S275" s="11"/>
      <c r="T275" s="11"/>
      <c r="U275" s="11"/>
      <c r="V275" s="11"/>
      <c r="W275" s="11"/>
      <c r="X275" s="11"/>
      <c r="Y275" s="11"/>
      <c r="Z275" s="11"/>
    </row>
    <row r="276" ht="15.75" customHeight="1">
      <c r="A276" s="16"/>
      <c r="B276" s="16"/>
      <c r="C276" s="18"/>
      <c r="D276" s="18"/>
      <c r="E276" s="18"/>
      <c r="F276" s="20"/>
      <c r="G276" s="18"/>
      <c r="H276" s="18"/>
      <c r="I276" s="18"/>
      <c r="J276" s="18"/>
      <c r="K276" s="18"/>
      <c r="L276" s="21"/>
      <c r="M276" s="21"/>
      <c r="N276" s="11"/>
      <c r="O276" s="11"/>
      <c r="P276" s="11"/>
      <c r="Q276" s="11"/>
      <c r="R276" s="11"/>
      <c r="S276" s="11"/>
      <c r="T276" s="11"/>
      <c r="U276" s="11"/>
      <c r="V276" s="11"/>
      <c r="W276" s="11"/>
      <c r="X276" s="11"/>
      <c r="Y276" s="11"/>
      <c r="Z276" s="11"/>
    </row>
    <row r="277" ht="15.75" customHeight="1">
      <c r="A277" s="16"/>
      <c r="B277" s="16"/>
      <c r="C277" s="18"/>
      <c r="D277" s="18"/>
      <c r="E277" s="18"/>
      <c r="F277" s="20"/>
      <c r="G277" s="18"/>
      <c r="H277" s="18"/>
      <c r="I277" s="18"/>
      <c r="J277" s="18"/>
      <c r="K277" s="18"/>
      <c r="L277" s="21"/>
      <c r="M277" s="21"/>
      <c r="N277" s="11"/>
      <c r="O277" s="11"/>
      <c r="P277" s="11"/>
      <c r="Q277" s="11"/>
      <c r="R277" s="11"/>
      <c r="S277" s="11"/>
      <c r="T277" s="11"/>
      <c r="U277" s="11"/>
      <c r="V277" s="11"/>
      <c r="W277" s="11"/>
      <c r="X277" s="11"/>
      <c r="Y277" s="11"/>
      <c r="Z277" s="11"/>
    </row>
    <row r="278" ht="15.75" customHeight="1">
      <c r="A278" s="16"/>
      <c r="B278" s="16"/>
      <c r="C278" s="18"/>
      <c r="D278" s="18"/>
      <c r="E278" s="18"/>
      <c r="F278" s="20"/>
      <c r="G278" s="18"/>
      <c r="H278" s="18"/>
      <c r="I278" s="18"/>
      <c r="J278" s="18"/>
      <c r="K278" s="18"/>
      <c r="L278" s="21"/>
      <c r="M278" s="21"/>
      <c r="N278" s="11"/>
      <c r="O278" s="11"/>
      <c r="P278" s="11"/>
      <c r="Q278" s="11"/>
      <c r="R278" s="11"/>
      <c r="S278" s="11"/>
      <c r="T278" s="11"/>
      <c r="U278" s="11"/>
      <c r="V278" s="11"/>
      <c r="W278" s="11"/>
      <c r="X278" s="11"/>
      <c r="Y278" s="11"/>
      <c r="Z278" s="11"/>
    </row>
    <row r="279" ht="15.75" customHeight="1">
      <c r="A279" s="16"/>
      <c r="B279" s="16"/>
      <c r="C279" s="18"/>
      <c r="D279" s="18"/>
      <c r="E279" s="18"/>
      <c r="F279" s="20"/>
      <c r="G279" s="18"/>
      <c r="H279" s="18"/>
      <c r="I279" s="18"/>
      <c r="J279" s="18"/>
      <c r="K279" s="18"/>
      <c r="L279" s="21"/>
      <c r="M279" s="21"/>
      <c r="N279" s="11"/>
      <c r="O279" s="11"/>
      <c r="P279" s="11"/>
      <c r="Q279" s="11"/>
      <c r="R279" s="11"/>
      <c r="S279" s="11"/>
      <c r="T279" s="11"/>
      <c r="U279" s="11"/>
      <c r="V279" s="11"/>
      <c r="W279" s="11"/>
      <c r="X279" s="11"/>
      <c r="Y279" s="11"/>
      <c r="Z279" s="11"/>
    </row>
    <row r="280" ht="15.75" customHeight="1">
      <c r="A280" s="16"/>
      <c r="B280" s="16"/>
      <c r="C280" s="18"/>
      <c r="D280" s="18"/>
      <c r="E280" s="18"/>
      <c r="F280" s="20"/>
      <c r="G280" s="18"/>
      <c r="H280" s="18"/>
      <c r="I280" s="18"/>
      <c r="J280" s="18"/>
      <c r="K280" s="18"/>
      <c r="L280" s="21"/>
      <c r="M280" s="21"/>
      <c r="N280" s="11"/>
      <c r="O280" s="11"/>
      <c r="P280" s="11"/>
      <c r="Q280" s="11"/>
      <c r="R280" s="11"/>
      <c r="S280" s="11"/>
      <c r="T280" s="11"/>
      <c r="U280" s="11"/>
      <c r="V280" s="11"/>
      <c r="W280" s="11"/>
      <c r="X280" s="11"/>
      <c r="Y280" s="11"/>
      <c r="Z280" s="11"/>
    </row>
    <row r="281" ht="15.75" customHeight="1">
      <c r="A281" s="16"/>
      <c r="B281" s="16"/>
      <c r="C281" s="18"/>
      <c r="D281" s="18"/>
      <c r="E281" s="18"/>
      <c r="F281" s="20"/>
      <c r="G281" s="18"/>
      <c r="H281" s="18"/>
      <c r="I281" s="18"/>
      <c r="J281" s="18"/>
      <c r="K281" s="18"/>
      <c r="L281" s="21"/>
      <c r="M281" s="21"/>
      <c r="N281" s="11"/>
      <c r="O281" s="11"/>
      <c r="P281" s="11"/>
      <c r="Q281" s="11"/>
      <c r="R281" s="11"/>
      <c r="S281" s="11"/>
      <c r="T281" s="11"/>
      <c r="U281" s="11"/>
      <c r="V281" s="11"/>
      <c r="W281" s="11"/>
      <c r="X281" s="11"/>
      <c r="Y281" s="11"/>
      <c r="Z281" s="11"/>
    </row>
    <row r="282" ht="15.75" customHeight="1">
      <c r="A282" s="16"/>
      <c r="B282" s="16"/>
      <c r="C282" s="18"/>
      <c r="D282" s="18"/>
      <c r="E282" s="18"/>
      <c r="F282" s="20"/>
      <c r="G282" s="18"/>
      <c r="H282" s="18"/>
      <c r="I282" s="18"/>
      <c r="J282" s="18"/>
      <c r="K282" s="18"/>
      <c r="L282" s="21"/>
      <c r="M282" s="21"/>
      <c r="N282" s="11"/>
      <c r="O282" s="11"/>
      <c r="P282" s="11"/>
      <c r="Q282" s="11"/>
      <c r="R282" s="11"/>
      <c r="S282" s="11"/>
      <c r="T282" s="11"/>
      <c r="U282" s="11"/>
      <c r="V282" s="11"/>
      <c r="W282" s="11"/>
      <c r="X282" s="11"/>
      <c r="Y282" s="11"/>
      <c r="Z282" s="11"/>
    </row>
    <row r="283" ht="15.75" customHeight="1">
      <c r="A283" s="16"/>
      <c r="B283" s="16"/>
      <c r="C283" s="18"/>
      <c r="D283" s="18"/>
      <c r="E283" s="18"/>
      <c r="F283" s="20"/>
      <c r="G283" s="18"/>
      <c r="H283" s="18"/>
      <c r="I283" s="18"/>
      <c r="J283" s="18"/>
      <c r="K283" s="18"/>
      <c r="L283" s="21"/>
      <c r="M283" s="21"/>
      <c r="N283" s="11"/>
      <c r="O283" s="11"/>
      <c r="P283" s="11"/>
      <c r="Q283" s="11"/>
      <c r="R283" s="11"/>
      <c r="S283" s="11"/>
      <c r="T283" s="11"/>
      <c r="U283" s="11"/>
      <c r="V283" s="11"/>
      <c r="W283" s="11"/>
      <c r="X283" s="11"/>
      <c r="Y283" s="11"/>
      <c r="Z283" s="11"/>
    </row>
    <row r="284" ht="15.75" customHeight="1">
      <c r="A284" s="16"/>
      <c r="B284" s="16"/>
      <c r="C284" s="18"/>
      <c r="D284" s="18"/>
      <c r="E284" s="18"/>
      <c r="F284" s="20"/>
      <c r="G284" s="18"/>
      <c r="H284" s="18"/>
      <c r="I284" s="18"/>
      <c r="J284" s="18"/>
      <c r="K284" s="18"/>
      <c r="L284" s="21"/>
      <c r="M284" s="21"/>
      <c r="N284" s="11"/>
      <c r="O284" s="11"/>
      <c r="P284" s="11"/>
      <c r="Q284" s="11"/>
      <c r="R284" s="11"/>
      <c r="S284" s="11"/>
      <c r="T284" s="11"/>
      <c r="U284" s="11"/>
      <c r="V284" s="11"/>
      <c r="W284" s="11"/>
      <c r="X284" s="11"/>
      <c r="Y284" s="11"/>
      <c r="Z284" s="11"/>
    </row>
    <row r="285" ht="15.75" customHeight="1">
      <c r="A285" s="16"/>
      <c r="B285" s="16"/>
      <c r="C285" s="18"/>
      <c r="D285" s="18"/>
      <c r="E285" s="18"/>
      <c r="F285" s="20"/>
      <c r="G285" s="18"/>
      <c r="H285" s="18"/>
      <c r="I285" s="18"/>
      <c r="J285" s="18"/>
      <c r="K285" s="18"/>
      <c r="L285" s="21"/>
      <c r="M285" s="21"/>
      <c r="N285" s="11"/>
      <c r="O285" s="11"/>
      <c r="P285" s="11"/>
      <c r="Q285" s="11"/>
      <c r="R285" s="11"/>
      <c r="S285" s="11"/>
      <c r="T285" s="11"/>
      <c r="U285" s="11"/>
      <c r="V285" s="11"/>
      <c r="W285" s="11"/>
      <c r="X285" s="11"/>
      <c r="Y285" s="11"/>
      <c r="Z285" s="11"/>
    </row>
    <row r="286" ht="15.75" customHeight="1">
      <c r="A286" s="16"/>
      <c r="B286" s="16"/>
      <c r="C286" s="18"/>
      <c r="D286" s="18"/>
      <c r="E286" s="18"/>
      <c r="F286" s="20"/>
      <c r="G286" s="18"/>
      <c r="H286" s="18"/>
      <c r="I286" s="18"/>
      <c r="J286" s="18"/>
      <c r="K286" s="18"/>
      <c r="L286" s="21"/>
      <c r="M286" s="21"/>
      <c r="N286" s="11"/>
      <c r="O286" s="11"/>
      <c r="P286" s="11"/>
      <c r="Q286" s="11"/>
      <c r="R286" s="11"/>
      <c r="S286" s="11"/>
      <c r="T286" s="11"/>
      <c r="U286" s="11"/>
      <c r="V286" s="11"/>
      <c r="W286" s="11"/>
      <c r="X286" s="11"/>
      <c r="Y286" s="11"/>
      <c r="Z286" s="11"/>
    </row>
    <row r="287" ht="15.75" customHeight="1">
      <c r="A287" s="16"/>
      <c r="B287" s="16"/>
      <c r="C287" s="18"/>
      <c r="D287" s="18"/>
      <c r="E287" s="18"/>
      <c r="F287" s="20"/>
      <c r="G287" s="18"/>
      <c r="H287" s="18"/>
      <c r="I287" s="18"/>
      <c r="J287" s="18"/>
      <c r="K287" s="18"/>
      <c r="L287" s="21"/>
      <c r="M287" s="21"/>
      <c r="N287" s="11"/>
      <c r="O287" s="11"/>
      <c r="P287" s="11"/>
      <c r="Q287" s="11"/>
      <c r="R287" s="11"/>
      <c r="S287" s="11"/>
      <c r="T287" s="11"/>
      <c r="U287" s="11"/>
      <c r="V287" s="11"/>
      <c r="W287" s="11"/>
      <c r="X287" s="11"/>
      <c r="Y287" s="11"/>
      <c r="Z287" s="11"/>
    </row>
    <row r="288" ht="15.75" customHeight="1">
      <c r="A288" s="16"/>
      <c r="B288" s="16"/>
      <c r="C288" s="18"/>
      <c r="D288" s="18"/>
      <c r="E288" s="18"/>
      <c r="F288" s="20"/>
      <c r="G288" s="18"/>
      <c r="H288" s="18"/>
      <c r="I288" s="18"/>
      <c r="J288" s="18"/>
      <c r="K288" s="18"/>
      <c r="L288" s="21"/>
      <c r="M288" s="21"/>
      <c r="N288" s="11"/>
      <c r="O288" s="11"/>
      <c r="P288" s="11"/>
      <c r="Q288" s="11"/>
      <c r="R288" s="11"/>
      <c r="S288" s="11"/>
      <c r="T288" s="11"/>
      <c r="U288" s="11"/>
      <c r="V288" s="11"/>
      <c r="W288" s="11"/>
      <c r="X288" s="11"/>
      <c r="Y288" s="11"/>
      <c r="Z288" s="11"/>
    </row>
    <row r="289" ht="15.75" customHeight="1">
      <c r="A289" s="16"/>
      <c r="B289" s="16"/>
      <c r="C289" s="18"/>
      <c r="D289" s="18"/>
      <c r="E289" s="18"/>
      <c r="F289" s="20"/>
      <c r="G289" s="18"/>
      <c r="H289" s="18"/>
      <c r="I289" s="18"/>
      <c r="J289" s="18"/>
      <c r="K289" s="18"/>
      <c r="L289" s="21"/>
      <c r="M289" s="21"/>
      <c r="N289" s="11"/>
      <c r="O289" s="11"/>
      <c r="P289" s="11"/>
      <c r="Q289" s="11"/>
      <c r="R289" s="11"/>
      <c r="S289" s="11"/>
      <c r="T289" s="11"/>
      <c r="U289" s="11"/>
      <c r="V289" s="11"/>
      <c r="W289" s="11"/>
      <c r="X289" s="11"/>
      <c r="Y289" s="11"/>
      <c r="Z289" s="11"/>
    </row>
    <row r="290" ht="15.75" customHeight="1">
      <c r="A290" s="16"/>
      <c r="B290" s="16"/>
      <c r="C290" s="18"/>
      <c r="D290" s="18"/>
      <c r="E290" s="18"/>
      <c r="F290" s="20"/>
      <c r="G290" s="18"/>
      <c r="H290" s="18"/>
      <c r="I290" s="18"/>
      <c r="J290" s="18"/>
      <c r="K290" s="18"/>
      <c r="L290" s="21"/>
      <c r="M290" s="21"/>
      <c r="N290" s="11"/>
      <c r="O290" s="11"/>
      <c r="P290" s="11"/>
      <c r="Q290" s="11"/>
      <c r="R290" s="11"/>
      <c r="S290" s="11"/>
      <c r="T290" s="11"/>
      <c r="U290" s="11"/>
      <c r="V290" s="11"/>
      <c r="W290" s="11"/>
      <c r="X290" s="11"/>
      <c r="Y290" s="11"/>
      <c r="Z290" s="11"/>
    </row>
    <row r="291" ht="15.75" customHeight="1">
      <c r="A291" s="16"/>
      <c r="B291" s="16"/>
      <c r="C291" s="18"/>
      <c r="D291" s="18"/>
      <c r="E291" s="18"/>
      <c r="F291" s="20"/>
      <c r="G291" s="18"/>
      <c r="H291" s="18"/>
      <c r="I291" s="18"/>
      <c r="J291" s="18"/>
      <c r="K291" s="18"/>
      <c r="L291" s="21"/>
      <c r="M291" s="21"/>
      <c r="N291" s="11"/>
      <c r="O291" s="11"/>
      <c r="P291" s="11"/>
      <c r="Q291" s="11"/>
      <c r="R291" s="11"/>
      <c r="S291" s="11"/>
      <c r="T291" s="11"/>
      <c r="U291" s="11"/>
      <c r="V291" s="11"/>
      <c r="W291" s="11"/>
      <c r="X291" s="11"/>
      <c r="Y291" s="11"/>
      <c r="Z291" s="11"/>
    </row>
    <row r="292" ht="15.75" customHeight="1">
      <c r="A292" s="16"/>
      <c r="B292" s="16"/>
      <c r="C292" s="18"/>
      <c r="D292" s="18"/>
      <c r="E292" s="18"/>
      <c r="F292" s="20"/>
      <c r="G292" s="18"/>
      <c r="H292" s="18"/>
      <c r="I292" s="18"/>
      <c r="J292" s="18"/>
      <c r="K292" s="18"/>
      <c r="L292" s="21"/>
      <c r="M292" s="21"/>
      <c r="N292" s="11"/>
      <c r="O292" s="11"/>
      <c r="P292" s="11"/>
      <c r="Q292" s="11"/>
      <c r="R292" s="11"/>
      <c r="S292" s="11"/>
      <c r="T292" s="11"/>
      <c r="U292" s="11"/>
      <c r="V292" s="11"/>
      <c r="W292" s="11"/>
      <c r="X292" s="11"/>
      <c r="Y292" s="11"/>
      <c r="Z292" s="11"/>
    </row>
    <row r="293" ht="15.75" customHeight="1">
      <c r="A293" s="16"/>
      <c r="B293" s="16"/>
      <c r="C293" s="18"/>
      <c r="D293" s="18"/>
      <c r="E293" s="18"/>
      <c r="F293" s="20"/>
      <c r="G293" s="18"/>
      <c r="H293" s="18"/>
      <c r="I293" s="18"/>
      <c r="J293" s="18"/>
      <c r="K293" s="18"/>
      <c r="L293" s="21"/>
      <c r="M293" s="21"/>
      <c r="N293" s="11"/>
      <c r="O293" s="11"/>
      <c r="P293" s="11"/>
      <c r="Q293" s="11"/>
      <c r="R293" s="11"/>
      <c r="S293" s="11"/>
      <c r="T293" s="11"/>
      <c r="U293" s="11"/>
      <c r="V293" s="11"/>
      <c r="W293" s="11"/>
      <c r="X293" s="11"/>
      <c r="Y293" s="11"/>
      <c r="Z293" s="11"/>
    </row>
    <row r="294" ht="15.75" customHeight="1">
      <c r="A294" s="16"/>
      <c r="B294" s="16"/>
      <c r="C294" s="18"/>
      <c r="D294" s="18"/>
      <c r="E294" s="18"/>
      <c r="F294" s="20"/>
      <c r="G294" s="18"/>
      <c r="H294" s="18"/>
      <c r="I294" s="18"/>
      <c r="J294" s="18"/>
      <c r="K294" s="18"/>
      <c r="L294" s="21"/>
      <c r="M294" s="21"/>
      <c r="N294" s="11"/>
      <c r="O294" s="11"/>
      <c r="P294" s="11"/>
      <c r="Q294" s="11"/>
      <c r="R294" s="11"/>
      <c r="S294" s="11"/>
      <c r="T294" s="11"/>
      <c r="U294" s="11"/>
      <c r="V294" s="11"/>
      <c r="W294" s="11"/>
      <c r="X294" s="11"/>
      <c r="Y294" s="11"/>
      <c r="Z294" s="11"/>
    </row>
    <row r="295" ht="15.75" customHeight="1">
      <c r="A295" s="16"/>
      <c r="B295" s="16"/>
      <c r="C295" s="18"/>
      <c r="D295" s="18"/>
      <c r="E295" s="18"/>
      <c r="F295" s="20"/>
      <c r="G295" s="18"/>
      <c r="H295" s="18"/>
      <c r="I295" s="18"/>
      <c r="J295" s="18"/>
      <c r="K295" s="18"/>
      <c r="L295" s="21"/>
      <c r="M295" s="21"/>
      <c r="N295" s="11"/>
      <c r="O295" s="11"/>
      <c r="P295" s="11"/>
      <c r="Q295" s="11"/>
      <c r="R295" s="11"/>
      <c r="S295" s="11"/>
      <c r="T295" s="11"/>
      <c r="U295" s="11"/>
      <c r="V295" s="11"/>
      <c r="W295" s="11"/>
      <c r="X295" s="11"/>
      <c r="Y295" s="11"/>
      <c r="Z295" s="11"/>
    </row>
    <row r="296" ht="15.75" customHeight="1">
      <c r="A296" s="16"/>
      <c r="B296" s="16"/>
      <c r="C296" s="18"/>
      <c r="D296" s="18"/>
      <c r="E296" s="18"/>
      <c r="F296" s="20"/>
      <c r="G296" s="18"/>
      <c r="H296" s="18"/>
      <c r="I296" s="18"/>
      <c r="J296" s="18"/>
      <c r="K296" s="18"/>
      <c r="L296" s="21"/>
      <c r="M296" s="21"/>
      <c r="N296" s="11"/>
      <c r="O296" s="11"/>
      <c r="P296" s="11"/>
      <c r="Q296" s="11"/>
      <c r="R296" s="11"/>
      <c r="S296" s="11"/>
      <c r="T296" s="11"/>
      <c r="U296" s="11"/>
      <c r="V296" s="11"/>
      <c r="W296" s="11"/>
      <c r="X296" s="11"/>
      <c r="Y296" s="11"/>
      <c r="Z296" s="11"/>
    </row>
    <row r="297" ht="15.75" customHeight="1">
      <c r="A297" s="16"/>
      <c r="B297" s="16"/>
      <c r="C297" s="18"/>
      <c r="D297" s="18"/>
      <c r="E297" s="18"/>
      <c r="F297" s="20"/>
      <c r="G297" s="18"/>
      <c r="H297" s="18"/>
      <c r="I297" s="18"/>
      <c r="J297" s="18"/>
      <c r="K297" s="18"/>
      <c r="L297" s="21"/>
      <c r="M297" s="21"/>
      <c r="N297" s="11"/>
      <c r="O297" s="11"/>
      <c r="P297" s="11"/>
      <c r="Q297" s="11"/>
      <c r="R297" s="11"/>
      <c r="S297" s="11"/>
      <c r="T297" s="11"/>
      <c r="U297" s="11"/>
      <c r="V297" s="11"/>
      <c r="W297" s="11"/>
      <c r="X297" s="11"/>
      <c r="Y297" s="11"/>
      <c r="Z297" s="11"/>
    </row>
    <row r="298" ht="15.75" customHeight="1">
      <c r="A298" s="16"/>
      <c r="B298" s="16"/>
      <c r="C298" s="18"/>
      <c r="D298" s="18"/>
      <c r="E298" s="18"/>
      <c r="F298" s="20"/>
      <c r="G298" s="18"/>
      <c r="H298" s="18"/>
      <c r="I298" s="18"/>
      <c r="J298" s="18"/>
      <c r="K298" s="18"/>
      <c r="L298" s="21"/>
      <c r="M298" s="21"/>
      <c r="N298" s="11"/>
      <c r="O298" s="11"/>
      <c r="P298" s="11"/>
      <c r="Q298" s="11"/>
      <c r="R298" s="11"/>
      <c r="S298" s="11"/>
      <c r="T298" s="11"/>
      <c r="U298" s="11"/>
      <c r="V298" s="11"/>
      <c r="W298" s="11"/>
      <c r="X298" s="11"/>
      <c r="Y298" s="11"/>
      <c r="Z298" s="11"/>
    </row>
    <row r="299" ht="15.75" customHeight="1">
      <c r="A299" s="16"/>
      <c r="B299" s="16"/>
      <c r="C299" s="18"/>
      <c r="D299" s="18"/>
      <c r="E299" s="18"/>
      <c r="F299" s="20"/>
      <c r="G299" s="18"/>
      <c r="H299" s="18"/>
      <c r="I299" s="18"/>
      <c r="J299" s="18"/>
      <c r="K299" s="18"/>
      <c r="L299" s="21"/>
      <c r="M299" s="21"/>
      <c r="N299" s="11"/>
      <c r="O299" s="11"/>
      <c r="P299" s="11"/>
      <c r="Q299" s="11"/>
      <c r="R299" s="11"/>
      <c r="S299" s="11"/>
      <c r="T299" s="11"/>
      <c r="U299" s="11"/>
      <c r="V299" s="11"/>
      <c r="W299" s="11"/>
      <c r="X299" s="11"/>
      <c r="Y299" s="11"/>
      <c r="Z299" s="11"/>
    </row>
    <row r="300" ht="15.75" customHeight="1">
      <c r="A300" s="16"/>
      <c r="B300" s="16"/>
      <c r="C300" s="18"/>
      <c r="D300" s="18"/>
      <c r="E300" s="18"/>
      <c r="F300" s="20"/>
      <c r="G300" s="18"/>
      <c r="H300" s="18"/>
      <c r="I300" s="18"/>
      <c r="J300" s="18"/>
      <c r="K300" s="18"/>
      <c r="L300" s="21"/>
      <c r="M300" s="21"/>
      <c r="N300" s="11"/>
      <c r="O300" s="11"/>
      <c r="P300" s="11"/>
      <c r="Q300" s="11"/>
      <c r="R300" s="11"/>
      <c r="S300" s="11"/>
      <c r="T300" s="11"/>
      <c r="U300" s="11"/>
      <c r="V300" s="11"/>
      <c r="W300" s="11"/>
      <c r="X300" s="11"/>
      <c r="Y300" s="11"/>
      <c r="Z300" s="11"/>
    </row>
    <row r="301" ht="15.75" customHeight="1">
      <c r="A301" s="16"/>
      <c r="B301" s="16"/>
      <c r="C301" s="18"/>
      <c r="D301" s="18"/>
      <c r="E301" s="18"/>
      <c r="F301" s="20"/>
      <c r="G301" s="18"/>
      <c r="H301" s="18"/>
      <c r="I301" s="18"/>
      <c r="J301" s="18"/>
      <c r="K301" s="18"/>
      <c r="L301" s="21"/>
      <c r="M301" s="21"/>
      <c r="N301" s="11"/>
      <c r="O301" s="11"/>
      <c r="P301" s="11"/>
      <c r="Q301" s="11"/>
      <c r="R301" s="11"/>
      <c r="S301" s="11"/>
      <c r="T301" s="11"/>
      <c r="U301" s="11"/>
      <c r="V301" s="11"/>
      <c r="W301" s="11"/>
      <c r="X301" s="11"/>
      <c r="Y301" s="11"/>
      <c r="Z301" s="11"/>
    </row>
    <row r="302" ht="15.75" customHeight="1">
      <c r="A302" s="16"/>
      <c r="B302" s="16"/>
      <c r="C302" s="18"/>
      <c r="D302" s="18"/>
      <c r="E302" s="18"/>
      <c r="F302" s="20"/>
      <c r="G302" s="18"/>
      <c r="H302" s="18"/>
      <c r="I302" s="18"/>
      <c r="J302" s="18"/>
      <c r="K302" s="18"/>
      <c r="L302" s="21"/>
      <c r="M302" s="21"/>
      <c r="N302" s="11"/>
      <c r="O302" s="11"/>
      <c r="P302" s="11"/>
      <c r="Q302" s="11"/>
      <c r="R302" s="11"/>
      <c r="S302" s="11"/>
      <c r="T302" s="11"/>
      <c r="U302" s="11"/>
      <c r="V302" s="11"/>
      <c r="W302" s="11"/>
      <c r="X302" s="11"/>
      <c r="Y302" s="11"/>
      <c r="Z302" s="11"/>
    </row>
    <row r="303" ht="15.75" customHeight="1">
      <c r="A303" s="16"/>
      <c r="B303" s="16"/>
      <c r="C303" s="18"/>
      <c r="D303" s="18"/>
      <c r="E303" s="18"/>
      <c r="F303" s="20"/>
      <c r="G303" s="18"/>
      <c r="H303" s="18"/>
      <c r="I303" s="18"/>
      <c r="J303" s="18"/>
      <c r="K303" s="18"/>
      <c r="L303" s="21"/>
      <c r="M303" s="21"/>
      <c r="N303" s="11"/>
      <c r="O303" s="11"/>
      <c r="P303" s="11"/>
      <c r="Q303" s="11"/>
      <c r="R303" s="11"/>
      <c r="S303" s="11"/>
      <c r="T303" s="11"/>
      <c r="U303" s="11"/>
      <c r="V303" s="11"/>
      <c r="W303" s="11"/>
      <c r="X303" s="11"/>
      <c r="Y303" s="11"/>
      <c r="Z303" s="11"/>
    </row>
    <row r="304" ht="15.75" customHeight="1">
      <c r="A304" s="16"/>
      <c r="B304" s="16"/>
      <c r="C304" s="18"/>
      <c r="D304" s="18"/>
      <c r="E304" s="18"/>
      <c r="F304" s="20"/>
      <c r="G304" s="18"/>
      <c r="H304" s="18"/>
      <c r="I304" s="18"/>
      <c r="J304" s="18"/>
      <c r="K304" s="18"/>
      <c r="L304" s="21"/>
      <c r="M304" s="21"/>
      <c r="N304" s="11"/>
      <c r="O304" s="11"/>
      <c r="P304" s="11"/>
      <c r="Q304" s="11"/>
      <c r="R304" s="11"/>
      <c r="S304" s="11"/>
      <c r="T304" s="11"/>
      <c r="U304" s="11"/>
      <c r="V304" s="11"/>
      <c r="W304" s="11"/>
      <c r="X304" s="11"/>
      <c r="Y304" s="11"/>
      <c r="Z304" s="11"/>
    </row>
    <row r="305" ht="15.75" customHeight="1">
      <c r="A305" s="16"/>
      <c r="B305" s="16"/>
      <c r="C305" s="18"/>
      <c r="D305" s="18"/>
      <c r="E305" s="18"/>
      <c r="F305" s="20"/>
      <c r="G305" s="18"/>
      <c r="H305" s="18"/>
      <c r="I305" s="18"/>
      <c r="J305" s="18"/>
      <c r="K305" s="18"/>
      <c r="L305" s="21"/>
      <c r="M305" s="21"/>
      <c r="N305" s="11"/>
      <c r="O305" s="11"/>
      <c r="P305" s="11"/>
      <c r="Q305" s="11"/>
      <c r="R305" s="11"/>
      <c r="S305" s="11"/>
      <c r="T305" s="11"/>
      <c r="U305" s="11"/>
      <c r="V305" s="11"/>
      <c r="W305" s="11"/>
      <c r="X305" s="11"/>
      <c r="Y305" s="11"/>
      <c r="Z305" s="11"/>
    </row>
    <row r="306" ht="15.75" customHeight="1">
      <c r="A306" s="16"/>
      <c r="B306" s="16"/>
      <c r="C306" s="18"/>
      <c r="D306" s="18"/>
      <c r="E306" s="18"/>
      <c r="F306" s="20"/>
      <c r="G306" s="18"/>
      <c r="H306" s="18"/>
      <c r="I306" s="18"/>
      <c r="J306" s="18"/>
      <c r="K306" s="18"/>
      <c r="L306" s="21"/>
      <c r="M306" s="21"/>
      <c r="N306" s="11"/>
      <c r="O306" s="11"/>
      <c r="P306" s="11"/>
      <c r="Q306" s="11"/>
      <c r="R306" s="11"/>
      <c r="S306" s="11"/>
      <c r="T306" s="11"/>
      <c r="U306" s="11"/>
      <c r="V306" s="11"/>
      <c r="W306" s="11"/>
      <c r="X306" s="11"/>
      <c r="Y306" s="11"/>
      <c r="Z306" s="11"/>
    </row>
    <row r="307" ht="15.75" customHeight="1">
      <c r="A307" s="16"/>
      <c r="B307" s="16"/>
      <c r="C307" s="18"/>
      <c r="D307" s="18"/>
      <c r="E307" s="18"/>
      <c r="F307" s="20"/>
      <c r="G307" s="18"/>
      <c r="H307" s="18"/>
      <c r="I307" s="18"/>
      <c r="J307" s="18"/>
      <c r="K307" s="18"/>
      <c r="L307" s="21"/>
      <c r="M307" s="21"/>
      <c r="N307" s="11"/>
      <c r="O307" s="11"/>
      <c r="P307" s="11"/>
      <c r="Q307" s="11"/>
      <c r="R307" s="11"/>
      <c r="S307" s="11"/>
      <c r="T307" s="11"/>
      <c r="U307" s="11"/>
      <c r="V307" s="11"/>
      <c r="W307" s="11"/>
      <c r="X307" s="11"/>
      <c r="Y307" s="11"/>
      <c r="Z307" s="11"/>
    </row>
    <row r="308" ht="15.75" customHeight="1">
      <c r="A308" s="16"/>
      <c r="B308" s="16"/>
      <c r="C308" s="18"/>
      <c r="D308" s="18"/>
      <c r="E308" s="18"/>
      <c r="F308" s="20"/>
      <c r="G308" s="18"/>
      <c r="H308" s="18"/>
      <c r="I308" s="18"/>
      <c r="J308" s="18"/>
      <c r="K308" s="18"/>
      <c r="L308" s="21"/>
      <c r="M308" s="21"/>
      <c r="N308" s="11"/>
      <c r="O308" s="11"/>
      <c r="P308" s="11"/>
      <c r="Q308" s="11"/>
      <c r="R308" s="11"/>
      <c r="S308" s="11"/>
      <c r="T308" s="11"/>
      <c r="U308" s="11"/>
      <c r="V308" s="11"/>
      <c r="W308" s="11"/>
      <c r="X308" s="11"/>
      <c r="Y308" s="11"/>
      <c r="Z308" s="11"/>
    </row>
    <row r="309" ht="15.75" customHeight="1">
      <c r="A309" s="16"/>
      <c r="B309" s="16"/>
      <c r="C309" s="18"/>
      <c r="D309" s="18"/>
      <c r="E309" s="18"/>
      <c r="F309" s="20"/>
      <c r="G309" s="18"/>
      <c r="H309" s="18"/>
      <c r="I309" s="18"/>
      <c r="J309" s="18"/>
      <c r="K309" s="18"/>
      <c r="L309" s="21"/>
      <c r="M309" s="21"/>
      <c r="N309" s="11"/>
      <c r="O309" s="11"/>
      <c r="P309" s="11"/>
      <c r="Q309" s="11"/>
      <c r="R309" s="11"/>
      <c r="S309" s="11"/>
      <c r="T309" s="11"/>
      <c r="U309" s="11"/>
      <c r="V309" s="11"/>
      <c r="W309" s="11"/>
      <c r="X309" s="11"/>
      <c r="Y309" s="11"/>
      <c r="Z309" s="11"/>
    </row>
    <row r="310" ht="15.75" customHeight="1">
      <c r="A310" s="16"/>
      <c r="B310" s="16"/>
      <c r="C310" s="18"/>
      <c r="D310" s="18"/>
      <c r="E310" s="18"/>
      <c r="F310" s="20"/>
      <c r="G310" s="18"/>
      <c r="H310" s="18"/>
      <c r="I310" s="18"/>
      <c r="J310" s="18"/>
      <c r="K310" s="18"/>
      <c r="L310" s="21"/>
      <c r="M310" s="21"/>
      <c r="N310" s="11"/>
      <c r="O310" s="11"/>
      <c r="P310" s="11"/>
      <c r="Q310" s="11"/>
      <c r="R310" s="11"/>
      <c r="S310" s="11"/>
      <c r="T310" s="11"/>
      <c r="U310" s="11"/>
      <c r="V310" s="11"/>
      <c r="W310" s="11"/>
      <c r="X310" s="11"/>
      <c r="Y310" s="11"/>
      <c r="Z310" s="11"/>
    </row>
    <row r="311" ht="15.75" customHeight="1">
      <c r="A311" s="16"/>
      <c r="B311" s="16"/>
      <c r="C311" s="18"/>
      <c r="D311" s="18"/>
      <c r="E311" s="18"/>
      <c r="F311" s="20"/>
      <c r="G311" s="18"/>
      <c r="H311" s="18"/>
      <c r="I311" s="18"/>
      <c r="J311" s="18"/>
      <c r="K311" s="18"/>
      <c r="L311" s="21"/>
      <c r="M311" s="21"/>
      <c r="N311" s="11"/>
      <c r="O311" s="11"/>
      <c r="P311" s="11"/>
      <c r="Q311" s="11"/>
      <c r="R311" s="11"/>
      <c r="S311" s="11"/>
      <c r="T311" s="11"/>
      <c r="U311" s="11"/>
      <c r="V311" s="11"/>
      <c r="W311" s="11"/>
      <c r="X311" s="11"/>
      <c r="Y311" s="11"/>
      <c r="Z311" s="11"/>
    </row>
    <row r="312" ht="15.75" customHeight="1">
      <c r="A312" s="16"/>
      <c r="B312" s="16"/>
      <c r="C312" s="18"/>
      <c r="D312" s="18"/>
      <c r="E312" s="18"/>
      <c r="F312" s="20"/>
      <c r="G312" s="18"/>
      <c r="H312" s="18"/>
      <c r="I312" s="18"/>
      <c r="J312" s="18"/>
      <c r="K312" s="18"/>
      <c r="L312" s="21"/>
      <c r="M312" s="21"/>
      <c r="N312" s="11"/>
      <c r="O312" s="11"/>
      <c r="P312" s="11"/>
      <c r="Q312" s="11"/>
      <c r="R312" s="11"/>
      <c r="S312" s="11"/>
      <c r="T312" s="11"/>
      <c r="U312" s="11"/>
      <c r="V312" s="11"/>
      <c r="W312" s="11"/>
      <c r="X312" s="11"/>
      <c r="Y312" s="11"/>
      <c r="Z312" s="11"/>
    </row>
    <row r="313" ht="15.75" customHeight="1">
      <c r="A313" s="16"/>
      <c r="B313" s="16"/>
      <c r="C313" s="18"/>
      <c r="D313" s="18"/>
      <c r="E313" s="18"/>
      <c r="F313" s="20"/>
      <c r="G313" s="18"/>
      <c r="H313" s="18"/>
      <c r="I313" s="18"/>
      <c r="J313" s="18"/>
      <c r="K313" s="18"/>
      <c r="L313" s="21"/>
      <c r="M313" s="21"/>
      <c r="N313" s="11"/>
      <c r="O313" s="11"/>
      <c r="P313" s="11"/>
      <c r="Q313" s="11"/>
      <c r="R313" s="11"/>
      <c r="S313" s="11"/>
      <c r="T313" s="11"/>
      <c r="U313" s="11"/>
      <c r="V313" s="11"/>
      <c r="W313" s="11"/>
      <c r="X313" s="11"/>
      <c r="Y313" s="11"/>
      <c r="Z313" s="11"/>
    </row>
    <row r="314" ht="15.75" customHeight="1">
      <c r="A314" s="16"/>
      <c r="B314" s="16"/>
      <c r="C314" s="18"/>
      <c r="D314" s="18"/>
      <c r="E314" s="18"/>
      <c r="F314" s="20"/>
      <c r="G314" s="18"/>
      <c r="H314" s="18"/>
      <c r="I314" s="18"/>
      <c r="J314" s="18"/>
      <c r="K314" s="18"/>
      <c r="L314" s="21"/>
      <c r="M314" s="21"/>
      <c r="N314" s="11"/>
      <c r="O314" s="11"/>
      <c r="P314" s="11"/>
      <c r="Q314" s="11"/>
      <c r="R314" s="11"/>
      <c r="S314" s="11"/>
      <c r="T314" s="11"/>
      <c r="U314" s="11"/>
      <c r="V314" s="11"/>
      <c r="W314" s="11"/>
      <c r="X314" s="11"/>
      <c r="Y314" s="11"/>
      <c r="Z314" s="11"/>
    </row>
    <row r="315" ht="15.75" customHeight="1">
      <c r="A315" s="16"/>
      <c r="B315" s="16"/>
      <c r="C315" s="18"/>
      <c r="D315" s="18"/>
      <c r="E315" s="18"/>
      <c r="F315" s="20"/>
      <c r="G315" s="18"/>
      <c r="H315" s="18"/>
      <c r="I315" s="18"/>
      <c r="J315" s="18"/>
      <c r="K315" s="18"/>
      <c r="L315" s="21"/>
      <c r="M315" s="21"/>
      <c r="N315" s="11"/>
      <c r="O315" s="11"/>
      <c r="P315" s="11"/>
      <c r="Q315" s="11"/>
      <c r="R315" s="11"/>
      <c r="S315" s="11"/>
      <c r="T315" s="11"/>
      <c r="U315" s="11"/>
      <c r="V315" s="11"/>
      <c r="W315" s="11"/>
      <c r="X315" s="11"/>
      <c r="Y315" s="11"/>
      <c r="Z315" s="11"/>
    </row>
    <row r="316" ht="15.75" customHeight="1">
      <c r="A316" s="16"/>
      <c r="B316" s="16"/>
      <c r="C316" s="18"/>
      <c r="D316" s="18"/>
      <c r="E316" s="18"/>
      <c r="F316" s="20"/>
      <c r="G316" s="18"/>
      <c r="H316" s="18"/>
      <c r="I316" s="18"/>
      <c r="J316" s="18"/>
      <c r="K316" s="18"/>
      <c r="L316" s="21"/>
      <c r="M316" s="21"/>
      <c r="N316" s="11"/>
      <c r="O316" s="11"/>
      <c r="P316" s="11"/>
      <c r="Q316" s="11"/>
      <c r="R316" s="11"/>
      <c r="S316" s="11"/>
      <c r="T316" s="11"/>
      <c r="U316" s="11"/>
      <c r="V316" s="11"/>
      <c r="W316" s="11"/>
      <c r="X316" s="11"/>
      <c r="Y316" s="11"/>
      <c r="Z316" s="11"/>
    </row>
    <row r="317" ht="15.75" customHeight="1">
      <c r="A317" s="16"/>
      <c r="B317" s="16"/>
      <c r="C317" s="18"/>
      <c r="D317" s="18"/>
      <c r="E317" s="18"/>
      <c r="F317" s="20"/>
      <c r="G317" s="18"/>
      <c r="H317" s="18"/>
      <c r="I317" s="18"/>
      <c r="J317" s="18"/>
      <c r="K317" s="18"/>
      <c r="L317" s="21"/>
      <c r="M317" s="21"/>
      <c r="N317" s="11"/>
      <c r="O317" s="11"/>
      <c r="P317" s="11"/>
      <c r="Q317" s="11"/>
      <c r="R317" s="11"/>
      <c r="S317" s="11"/>
      <c r="T317" s="11"/>
      <c r="U317" s="11"/>
      <c r="V317" s="11"/>
      <c r="W317" s="11"/>
      <c r="X317" s="11"/>
      <c r="Y317" s="11"/>
      <c r="Z317" s="11"/>
    </row>
    <row r="318" ht="15.75" customHeight="1">
      <c r="A318" s="16"/>
      <c r="B318" s="16"/>
      <c r="C318" s="18"/>
      <c r="D318" s="18"/>
      <c r="E318" s="18"/>
      <c r="F318" s="20"/>
      <c r="G318" s="18"/>
      <c r="H318" s="18"/>
      <c r="I318" s="18"/>
      <c r="J318" s="18"/>
      <c r="K318" s="18"/>
      <c r="L318" s="21"/>
      <c r="M318" s="21"/>
      <c r="N318" s="11"/>
      <c r="O318" s="11"/>
      <c r="P318" s="11"/>
      <c r="Q318" s="11"/>
      <c r="R318" s="11"/>
      <c r="S318" s="11"/>
      <c r="T318" s="11"/>
      <c r="U318" s="11"/>
      <c r="V318" s="11"/>
      <c r="W318" s="11"/>
      <c r="X318" s="11"/>
      <c r="Y318" s="11"/>
      <c r="Z318" s="11"/>
    </row>
    <row r="319" ht="15.75" customHeight="1">
      <c r="A319" s="16"/>
      <c r="B319" s="16"/>
      <c r="C319" s="18"/>
      <c r="D319" s="18"/>
      <c r="E319" s="18"/>
      <c r="F319" s="20"/>
      <c r="G319" s="18"/>
      <c r="H319" s="18"/>
      <c r="I319" s="18"/>
      <c r="J319" s="18"/>
      <c r="K319" s="18"/>
      <c r="L319" s="21"/>
      <c r="M319" s="21"/>
      <c r="N319" s="11"/>
      <c r="O319" s="11"/>
      <c r="P319" s="11"/>
      <c r="Q319" s="11"/>
      <c r="R319" s="11"/>
      <c r="S319" s="11"/>
      <c r="T319" s="11"/>
      <c r="U319" s="11"/>
      <c r="V319" s="11"/>
      <c r="W319" s="11"/>
      <c r="X319" s="11"/>
      <c r="Y319" s="11"/>
      <c r="Z319" s="11"/>
    </row>
    <row r="320" ht="15.75" customHeight="1">
      <c r="A320" s="16"/>
      <c r="B320" s="16"/>
      <c r="C320" s="18"/>
      <c r="D320" s="18"/>
      <c r="E320" s="18"/>
      <c r="F320" s="20"/>
      <c r="G320" s="18"/>
      <c r="H320" s="18"/>
      <c r="I320" s="18"/>
      <c r="J320" s="18"/>
      <c r="K320" s="18"/>
      <c r="L320" s="21"/>
      <c r="M320" s="21"/>
      <c r="N320" s="11"/>
      <c r="O320" s="11"/>
      <c r="P320" s="11"/>
      <c r="Q320" s="11"/>
      <c r="R320" s="11"/>
      <c r="S320" s="11"/>
      <c r="T320" s="11"/>
      <c r="U320" s="11"/>
      <c r="V320" s="11"/>
      <c r="W320" s="11"/>
      <c r="X320" s="11"/>
      <c r="Y320" s="11"/>
      <c r="Z320" s="11"/>
    </row>
    <row r="321" ht="15.75" customHeight="1">
      <c r="A321" s="16"/>
      <c r="B321" s="16"/>
      <c r="C321" s="18"/>
      <c r="D321" s="18"/>
      <c r="E321" s="18"/>
      <c r="F321" s="20"/>
      <c r="G321" s="18"/>
      <c r="H321" s="18"/>
      <c r="I321" s="18"/>
      <c r="J321" s="18"/>
      <c r="K321" s="18"/>
      <c r="L321" s="21"/>
      <c r="M321" s="21"/>
      <c r="N321" s="11"/>
      <c r="O321" s="11"/>
      <c r="P321" s="11"/>
      <c r="Q321" s="11"/>
      <c r="R321" s="11"/>
      <c r="S321" s="11"/>
      <c r="T321" s="11"/>
      <c r="U321" s="11"/>
      <c r="V321" s="11"/>
      <c r="W321" s="11"/>
      <c r="X321" s="11"/>
      <c r="Y321" s="11"/>
      <c r="Z321" s="11"/>
    </row>
    <row r="322" ht="15.75" customHeight="1">
      <c r="A322" s="16"/>
      <c r="B322" s="16"/>
      <c r="C322" s="18"/>
      <c r="D322" s="18"/>
      <c r="E322" s="18"/>
      <c r="F322" s="20"/>
      <c r="G322" s="18"/>
      <c r="H322" s="18"/>
      <c r="I322" s="18"/>
      <c r="J322" s="18"/>
      <c r="K322" s="18"/>
      <c r="L322" s="21"/>
      <c r="M322" s="21"/>
      <c r="N322" s="11"/>
      <c r="O322" s="11"/>
      <c r="P322" s="11"/>
      <c r="Q322" s="11"/>
      <c r="R322" s="11"/>
      <c r="S322" s="11"/>
      <c r="T322" s="11"/>
      <c r="U322" s="11"/>
      <c r="V322" s="11"/>
      <c r="W322" s="11"/>
      <c r="X322" s="11"/>
      <c r="Y322" s="11"/>
      <c r="Z322" s="11"/>
    </row>
    <row r="323" ht="15.75" customHeight="1">
      <c r="A323" s="16"/>
      <c r="B323" s="16"/>
      <c r="C323" s="18"/>
      <c r="D323" s="18"/>
      <c r="E323" s="18"/>
      <c r="F323" s="20"/>
      <c r="G323" s="18"/>
      <c r="H323" s="18"/>
      <c r="I323" s="18"/>
      <c r="J323" s="18"/>
      <c r="K323" s="18"/>
      <c r="L323" s="21"/>
      <c r="M323" s="21"/>
      <c r="N323" s="11"/>
      <c r="O323" s="11"/>
      <c r="P323" s="11"/>
      <c r="Q323" s="11"/>
      <c r="R323" s="11"/>
      <c r="S323" s="11"/>
      <c r="T323" s="11"/>
      <c r="U323" s="11"/>
      <c r="V323" s="11"/>
      <c r="W323" s="11"/>
      <c r="X323" s="11"/>
      <c r="Y323" s="11"/>
      <c r="Z323" s="11"/>
    </row>
    <row r="324" ht="15.75" customHeight="1">
      <c r="A324" s="16"/>
      <c r="B324" s="16"/>
      <c r="C324" s="18"/>
      <c r="D324" s="18"/>
      <c r="E324" s="18"/>
      <c r="F324" s="20"/>
      <c r="G324" s="18"/>
      <c r="H324" s="18"/>
      <c r="I324" s="18"/>
      <c r="J324" s="18"/>
      <c r="K324" s="18"/>
      <c r="L324" s="21"/>
      <c r="M324" s="21"/>
      <c r="N324" s="11"/>
      <c r="O324" s="11"/>
      <c r="P324" s="11"/>
      <c r="Q324" s="11"/>
      <c r="R324" s="11"/>
      <c r="S324" s="11"/>
      <c r="T324" s="11"/>
      <c r="U324" s="11"/>
      <c r="V324" s="11"/>
      <c r="W324" s="11"/>
      <c r="X324" s="11"/>
      <c r="Y324" s="11"/>
      <c r="Z324" s="11"/>
    </row>
    <row r="325" ht="15.75" customHeight="1">
      <c r="A325" s="16"/>
      <c r="B325" s="16"/>
      <c r="C325" s="18"/>
      <c r="D325" s="18"/>
      <c r="E325" s="18"/>
      <c r="F325" s="20"/>
      <c r="G325" s="18"/>
      <c r="H325" s="18"/>
      <c r="I325" s="18"/>
      <c r="J325" s="18"/>
      <c r="K325" s="18"/>
      <c r="L325" s="21"/>
      <c r="M325" s="21"/>
      <c r="N325" s="11"/>
      <c r="O325" s="11"/>
      <c r="P325" s="11"/>
      <c r="Q325" s="11"/>
      <c r="R325" s="11"/>
      <c r="S325" s="11"/>
      <c r="T325" s="11"/>
      <c r="U325" s="11"/>
      <c r="V325" s="11"/>
      <c r="W325" s="11"/>
      <c r="X325" s="11"/>
      <c r="Y325" s="11"/>
      <c r="Z325" s="11"/>
    </row>
    <row r="326" ht="15.75" customHeight="1">
      <c r="A326" s="16"/>
      <c r="B326" s="16"/>
      <c r="C326" s="18"/>
      <c r="D326" s="18"/>
      <c r="E326" s="18"/>
      <c r="F326" s="20"/>
      <c r="G326" s="18"/>
      <c r="H326" s="18"/>
      <c r="I326" s="18"/>
      <c r="J326" s="18"/>
      <c r="K326" s="18"/>
      <c r="L326" s="21"/>
      <c r="M326" s="21"/>
      <c r="N326" s="11"/>
      <c r="O326" s="11"/>
      <c r="P326" s="11"/>
      <c r="Q326" s="11"/>
      <c r="R326" s="11"/>
      <c r="S326" s="11"/>
      <c r="T326" s="11"/>
      <c r="U326" s="11"/>
      <c r="V326" s="11"/>
      <c r="W326" s="11"/>
      <c r="X326" s="11"/>
      <c r="Y326" s="11"/>
      <c r="Z326" s="11"/>
    </row>
    <row r="327" ht="15.75" customHeight="1">
      <c r="A327" s="16"/>
      <c r="B327" s="16"/>
      <c r="C327" s="18"/>
      <c r="D327" s="18"/>
      <c r="E327" s="18"/>
      <c r="F327" s="20"/>
      <c r="G327" s="18"/>
      <c r="H327" s="18"/>
      <c r="I327" s="18"/>
      <c r="J327" s="18"/>
      <c r="K327" s="18"/>
      <c r="L327" s="21"/>
      <c r="M327" s="21"/>
      <c r="N327" s="11"/>
      <c r="O327" s="11"/>
      <c r="P327" s="11"/>
      <c r="Q327" s="11"/>
      <c r="R327" s="11"/>
      <c r="S327" s="11"/>
      <c r="T327" s="11"/>
      <c r="U327" s="11"/>
      <c r="V327" s="11"/>
      <c r="W327" s="11"/>
      <c r="X327" s="11"/>
      <c r="Y327" s="11"/>
      <c r="Z327" s="11"/>
    </row>
    <row r="328" ht="15.75" customHeight="1">
      <c r="A328" s="16"/>
      <c r="B328" s="16"/>
      <c r="C328" s="18"/>
      <c r="D328" s="18"/>
      <c r="E328" s="18"/>
      <c r="F328" s="20"/>
      <c r="G328" s="18"/>
      <c r="H328" s="18"/>
      <c r="I328" s="18"/>
      <c r="J328" s="18"/>
      <c r="K328" s="18"/>
      <c r="L328" s="21"/>
      <c r="M328" s="21"/>
      <c r="N328" s="11"/>
      <c r="O328" s="11"/>
      <c r="P328" s="11"/>
      <c r="Q328" s="11"/>
      <c r="R328" s="11"/>
      <c r="S328" s="11"/>
      <c r="T328" s="11"/>
      <c r="U328" s="11"/>
      <c r="V328" s="11"/>
      <c r="W328" s="11"/>
      <c r="X328" s="11"/>
      <c r="Y328" s="11"/>
      <c r="Z328" s="11"/>
    </row>
    <row r="329" ht="15.75" customHeight="1">
      <c r="A329" s="16"/>
      <c r="B329" s="16"/>
      <c r="C329" s="18"/>
      <c r="D329" s="18"/>
      <c r="E329" s="18"/>
      <c r="F329" s="20"/>
      <c r="G329" s="18"/>
      <c r="H329" s="18"/>
      <c r="I329" s="18"/>
      <c r="J329" s="18"/>
      <c r="K329" s="18"/>
      <c r="L329" s="21"/>
      <c r="M329" s="21"/>
      <c r="N329" s="11"/>
      <c r="O329" s="11"/>
      <c r="P329" s="11"/>
      <c r="Q329" s="11"/>
      <c r="R329" s="11"/>
      <c r="S329" s="11"/>
      <c r="T329" s="11"/>
      <c r="U329" s="11"/>
      <c r="V329" s="11"/>
      <c r="W329" s="11"/>
      <c r="X329" s="11"/>
      <c r="Y329" s="11"/>
      <c r="Z329" s="11"/>
    </row>
    <row r="330" ht="15.75" customHeight="1">
      <c r="A330" s="16"/>
      <c r="B330" s="16"/>
      <c r="C330" s="18"/>
      <c r="D330" s="18"/>
      <c r="E330" s="18"/>
      <c r="F330" s="20"/>
      <c r="G330" s="18"/>
      <c r="H330" s="18"/>
      <c r="I330" s="18"/>
      <c r="J330" s="18"/>
      <c r="K330" s="18"/>
      <c r="L330" s="21"/>
      <c r="M330" s="21"/>
      <c r="N330" s="11"/>
      <c r="O330" s="11"/>
      <c r="P330" s="11"/>
      <c r="Q330" s="11"/>
      <c r="R330" s="11"/>
      <c r="S330" s="11"/>
      <c r="T330" s="11"/>
      <c r="U330" s="11"/>
      <c r="V330" s="11"/>
      <c r="W330" s="11"/>
      <c r="X330" s="11"/>
      <c r="Y330" s="11"/>
      <c r="Z330" s="11"/>
    </row>
    <row r="331" ht="15.75" customHeight="1">
      <c r="A331" s="16"/>
      <c r="B331" s="16"/>
      <c r="C331" s="18"/>
      <c r="D331" s="18"/>
      <c r="E331" s="18"/>
      <c r="F331" s="20"/>
      <c r="G331" s="18"/>
      <c r="H331" s="18"/>
      <c r="I331" s="18"/>
      <c r="J331" s="18"/>
      <c r="K331" s="18"/>
      <c r="L331" s="21"/>
      <c r="M331" s="21"/>
      <c r="N331" s="11"/>
      <c r="O331" s="11"/>
      <c r="P331" s="11"/>
      <c r="Q331" s="11"/>
      <c r="R331" s="11"/>
      <c r="S331" s="11"/>
      <c r="T331" s="11"/>
      <c r="U331" s="11"/>
      <c r="V331" s="11"/>
      <c r="W331" s="11"/>
      <c r="X331" s="11"/>
      <c r="Y331" s="11"/>
      <c r="Z331" s="11"/>
    </row>
    <row r="332" ht="15.75" customHeight="1">
      <c r="A332" s="16"/>
      <c r="B332" s="16"/>
      <c r="C332" s="18"/>
      <c r="D332" s="18"/>
      <c r="E332" s="18"/>
      <c r="F332" s="20"/>
      <c r="G332" s="18"/>
      <c r="H332" s="18"/>
      <c r="I332" s="18"/>
      <c r="J332" s="18"/>
      <c r="K332" s="18"/>
      <c r="L332" s="21"/>
      <c r="M332" s="21"/>
      <c r="N332" s="11"/>
      <c r="O332" s="11"/>
      <c r="P332" s="11"/>
      <c r="Q332" s="11"/>
      <c r="R332" s="11"/>
      <c r="S332" s="11"/>
      <c r="T332" s="11"/>
      <c r="U332" s="11"/>
      <c r="V332" s="11"/>
      <c r="W332" s="11"/>
      <c r="X332" s="11"/>
      <c r="Y332" s="11"/>
      <c r="Z332" s="11"/>
    </row>
    <row r="333" ht="15.75" customHeight="1">
      <c r="A333" s="16"/>
      <c r="B333" s="16"/>
      <c r="C333" s="18"/>
      <c r="D333" s="18"/>
      <c r="E333" s="18"/>
      <c r="F333" s="20"/>
      <c r="G333" s="18"/>
      <c r="H333" s="18"/>
      <c r="I333" s="18"/>
      <c r="J333" s="18"/>
      <c r="K333" s="18"/>
      <c r="L333" s="21"/>
      <c r="M333" s="21"/>
      <c r="N333" s="11"/>
      <c r="O333" s="11"/>
      <c r="P333" s="11"/>
      <c r="Q333" s="11"/>
      <c r="R333" s="11"/>
      <c r="S333" s="11"/>
      <c r="T333" s="11"/>
      <c r="U333" s="11"/>
      <c r="V333" s="11"/>
      <c r="W333" s="11"/>
      <c r="X333" s="11"/>
      <c r="Y333" s="11"/>
      <c r="Z333" s="11"/>
    </row>
    <row r="334" ht="15.75" customHeight="1">
      <c r="A334" s="16"/>
      <c r="B334" s="16"/>
      <c r="C334" s="18"/>
      <c r="D334" s="18"/>
      <c r="E334" s="18"/>
      <c r="F334" s="20"/>
      <c r="G334" s="18"/>
      <c r="H334" s="18"/>
      <c r="I334" s="18"/>
      <c r="J334" s="18"/>
      <c r="K334" s="18"/>
      <c r="L334" s="21"/>
      <c r="M334" s="21"/>
      <c r="N334" s="11"/>
      <c r="O334" s="11"/>
      <c r="P334" s="11"/>
      <c r="Q334" s="11"/>
      <c r="R334" s="11"/>
      <c r="S334" s="11"/>
      <c r="T334" s="11"/>
      <c r="U334" s="11"/>
      <c r="V334" s="11"/>
      <c r="W334" s="11"/>
      <c r="X334" s="11"/>
      <c r="Y334" s="11"/>
      <c r="Z334" s="11"/>
    </row>
    <row r="335" ht="15.75" customHeight="1">
      <c r="A335" s="16"/>
      <c r="B335" s="16"/>
      <c r="C335" s="18"/>
      <c r="D335" s="18"/>
      <c r="E335" s="18"/>
      <c r="F335" s="20"/>
      <c r="G335" s="18"/>
      <c r="H335" s="18"/>
      <c r="I335" s="18"/>
      <c r="J335" s="18"/>
      <c r="K335" s="18"/>
      <c r="L335" s="21"/>
      <c r="M335" s="21"/>
      <c r="N335" s="11"/>
      <c r="O335" s="11"/>
      <c r="P335" s="11"/>
      <c r="Q335" s="11"/>
      <c r="R335" s="11"/>
      <c r="S335" s="11"/>
      <c r="T335" s="11"/>
      <c r="U335" s="11"/>
      <c r="V335" s="11"/>
      <c r="W335" s="11"/>
      <c r="X335" s="11"/>
      <c r="Y335" s="11"/>
      <c r="Z335" s="11"/>
    </row>
    <row r="336" ht="15.75" customHeight="1">
      <c r="A336" s="16"/>
      <c r="B336" s="16"/>
      <c r="C336" s="18"/>
      <c r="D336" s="18"/>
      <c r="E336" s="18"/>
      <c r="F336" s="20"/>
      <c r="G336" s="18"/>
      <c r="H336" s="18"/>
      <c r="I336" s="18"/>
      <c r="J336" s="18"/>
      <c r="K336" s="18"/>
      <c r="L336" s="21"/>
      <c r="M336" s="21"/>
      <c r="N336" s="11"/>
      <c r="O336" s="11"/>
      <c r="P336" s="11"/>
      <c r="Q336" s="11"/>
      <c r="R336" s="11"/>
      <c r="S336" s="11"/>
      <c r="T336" s="11"/>
      <c r="U336" s="11"/>
      <c r="V336" s="11"/>
      <c r="W336" s="11"/>
      <c r="X336" s="11"/>
      <c r="Y336" s="11"/>
      <c r="Z336" s="11"/>
    </row>
    <row r="337" ht="15.75" customHeight="1">
      <c r="A337" s="16"/>
      <c r="B337" s="16"/>
      <c r="C337" s="18"/>
      <c r="D337" s="18"/>
      <c r="E337" s="18"/>
      <c r="F337" s="20"/>
      <c r="G337" s="18"/>
      <c r="H337" s="18"/>
      <c r="I337" s="18"/>
      <c r="J337" s="18"/>
      <c r="K337" s="18"/>
      <c r="L337" s="21"/>
      <c r="M337" s="21"/>
      <c r="N337" s="11"/>
      <c r="O337" s="11"/>
      <c r="P337" s="11"/>
      <c r="Q337" s="11"/>
      <c r="R337" s="11"/>
      <c r="S337" s="11"/>
      <c r="T337" s="11"/>
      <c r="U337" s="11"/>
      <c r="V337" s="11"/>
      <c r="W337" s="11"/>
      <c r="X337" s="11"/>
      <c r="Y337" s="11"/>
      <c r="Z337" s="11"/>
    </row>
    <row r="338" ht="15.75" customHeight="1">
      <c r="A338" s="16"/>
      <c r="B338" s="16"/>
      <c r="C338" s="18"/>
      <c r="D338" s="18"/>
      <c r="E338" s="18"/>
      <c r="F338" s="20"/>
      <c r="G338" s="18"/>
      <c r="H338" s="18"/>
      <c r="I338" s="18"/>
      <c r="J338" s="18"/>
      <c r="K338" s="18"/>
      <c r="L338" s="21"/>
      <c r="M338" s="21"/>
      <c r="N338" s="11"/>
      <c r="O338" s="11"/>
      <c r="P338" s="11"/>
      <c r="Q338" s="11"/>
      <c r="R338" s="11"/>
      <c r="S338" s="11"/>
      <c r="T338" s="11"/>
      <c r="U338" s="11"/>
      <c r="V338" s="11"/>
      <c r="W338" s="11"/>
      <c r="X338" s="11"/>
      <c r="Y338" s="11"/>
      <c r="Z338" s="11"/>
    </row>
    <row r="339" ht="15.75" customHeight="1">
      <c r="A339" s="16"/>
      <c r="B339" s="16"/>
      <c r="C339" s="18"/>
      <c r="D339" s="18"/>
      <c r="E339" s="18"/>
      <c r="F339" s="20"/>
      <c r="G339" s="18"/>
      <c r="H339" s="18"/>
      <c r="I339" s="18"/>
      <c r="J339" s="18"/>
      <c r="K339" s="18"/>
      <c r="L339" s="21"/>
      <c r="M339" s="21"/>
      <c r="N339" s="11"/>
      <c r="O339" s="11"/>
      <c r="P339" s="11"/>
      <c r="Q339" s="11"/>
      <c r="R339" s="11"/>
      <c r="S339" s="11"/>
      <c r="T339" s="11"/>
      <c r="U339" s="11"/>
      <c r="V339" s="11"/>
      <c r="W339" s="11"/>
      <c r="X339" s="11"/>
      <c r="Y339" s="11"/>
      <c r="Z339" s="11"/>
    </row>
    <row r="340" ht="15.75" customHeight="1">
      <c r="A340" s="16"/>
      <c r="B340" s="16"/>
      <c r="C340" s="18"/>
      <c r="D340" s="18"/>
      <c r="E340" s="18"/>
      <c r="F340" s="20"/>
      <c r="G340" s="18"/>
      <c r="H340" s="18"/>
      <c r="I340" s="18"/>
      <c r="J340" s="18"/>
      <c r="K340" s="18"/>
      <c r="L340" s="21"/>
      <c r="M340" s="21"/>
      <c r="N340" s="11"/>
      <c r="O340" s="11"/>
      <c r="P340" s="11"/>
      <c r="Q340" s="11"/>
      <c r="R340" s="11"/>
      <c r="S340" s="11"/>
      <c r="T340" s="11"/>
      <c r="U340" s="11"/>
      <c r="V340" s="11"/>
      <c r="W340" s="11"/>
      <c r="X340" s="11"/>
      <c r="Y340" s="11"/>
      <c r="Z340" s="11"/>
    </row>
    <row r="341" ht="15.75" customHeight="1">
      <c r="A341" s="16"/>
      <c r="B341" s="16"/>
      <c r="C341" s="18"/>
      <c r="D341" s="18"/>
      <c r="E341" s="18"/>
      <c r="F341" s="20"/>
      <c r="G341" s="18"/>
      <c r="H341" s="18"/>
      <c r="I341" s="18"/>
      <c r="J341" s="18"/>
      <c r="K341" s="18"/>
      <c r="L341" s="21"/>
      <c r="M341" s="21"/>
      <c r="N341" s="11"/>
      <c r="O341" s="11"/>
      <c r="P341" s="11"/>
      <c r="Q341" s="11"/>
      <c r="R341" s="11"/>
      <c r="S341" s="11"/>
      <c r="T341" s="11"/>
      <c r="U341" s="11"/>
      <c r="V341" s="11"/>
      <c r="W341" s="11"/>
      <c r="X341" s="11"/>
      <c r="Y341" s="11"/>
      <c r="Z341" s="11"/>
    </row>
    <row r="342" ht="15.75" customHeight="1">
      <c r="A342" s="16"/>
      <c r="B342" s="16"/>
      <c r="C342" s="18"/>
      <c r="D342" s="18"/>
      <c r="E342" s="18"/>
      <c r="F342" s="20"/>
      <c r="G342" s="18"/>
      <c r="H342" s="18"/>
      <c r="I342" s="18"/>
      <c r="J342" s="18"/>
      <c r="K342" s="18"/>
      <c r="L342" s="21"/>
      <c r="M342" s="21"/>
      <c r="N342" s="11"/>
      <c r="O342" s="11"/>
      <c r="P342" s="11"/>
      <c r="Q342" s="11"/>
      <c r="R342" s="11"/>
      <c r="S342" s="11"/>
      <c r="T342" s="11"/>
      <c r="U342" s="11"/>
      <c r="V342" s="11"/>
      <c r="W342" s="11"/>
      <c r="X342" s="11"/>
      <c r="Y342" s="11"/>
      <c r="Z342" s="11"/>
    </row>
    <row r="343" ht="15.75" customHeight="1">
      <c r="A343" s="16"/>
      <c r="B343" s="16"/>
      <c r="C343" s="18"/>
      <c r="D343" s="18"/>
      <c r="E343" s="18"/>
      <c r="F343" s="20"/>
      <c r="G343" s="18"/>
      <c r="H343" s="18"/>
      <c r="I343" s="18"/>
      <c r="J343" s="18"/>
      <c r="K343" s="18"/>
      <c r="L343" s="21"/>
      <c r="M343" s="21"/>
      <c r="N343" s="11"/>
      <c r="O343" s="11"/>
      <c r="P343" s="11"/>
      <c r="Q343" s="11"/>
      <c r="R343" s="11"/>
      <c r="S343" s="11"/>
      <c r="T343" s="11"/>
      <c r="U343" s="11"/>
      <c r="V343" s="11"/>
      <c r="W343" s="11"/>
      <c r="X343" s="11"/>
      <c r="Y343" s="11"/>
      <c r="Z343" s="11"/>
    </row>
    <row r="344" ht="15.75" customHeight="1">
      <c r="A344" s="16"/>
      <c r="B344" s="16"/>
      <c r="C344" s="18"/>
      <c r="D344" s="18"/>
      <c r="E344" s="18"/>
      <c r="F344" s="20"/>
      <c r="G344" s="18"/>
      <c r="H344" s="18"/>
      <c r="I344" s="18"/>
      <c r="J344" s="18"/>
      <c r="K344" s="18"/>
      <c r="L344" s="21"/>
      <c r="M344" s="21"/>
      <c r="N344" s="11"/>
      <c r="O344" s="11"/>
      <c r="P344" s="11"/>
      <c r="Q344" s="11"/>
      <c r="R344" s="11"/>
      <c r="S344" s="11"/>
      <c r="T344" s="11"/>
      <c r="U344" s="11"/>
      <c r="V344" s="11"/>
      <c r="W344" s="11"/>
      <c r="X344" s="11"/>
      <c r="Y344" s="11"/>
      <c r="Z344" s="11"/>
    </row>
    <row r="345" ht="15.75" customHeight="1">
      <c r="A345" s="16"/>
      <c r="B345" s="16"/>
      <c r="C345" s="18"/>
      <c r="D345" s="18"/>
      <c r="E345" s="18"/>
      <c r="F345" s="20"/>
      <c r="G345" s="18"/>
      <c r="H345" s="18"/>
      <c r="I345" s="18"/>
      <c r="J345" s="18"/>
      <c r="K345" s="18"/>
      <c r="L345" s="21"/>
      <c r="M345" s="21"/>
      <c r="N345" s="11"/>
      <c r="O345" s="11"/>
      <c r="P345" s="11"/>
      <c r="Q345" s="11"/>
      <c r="R345" s="11"/>
      <c r="S345" s="11"/>
      <c r="T345" s="11"/>
      <c r="U345" s="11"/>
      <c r="V345" s="11"/>
      <c r="W345" s="11"/>
      <c r="X345" s="11"/>
      <c r="Y345" s="11"/>
      <c r="Z345" s="11"/>
    </row>
    <row r="346" ht="15.75" customHeight="1">
      <c r="A346" s="16"/>
      <c r="B346" s="16"/>
      <c r="C346" s="18"/>
      <c r="D346" s="18"/>
      <c r="E346" s="18"/>
      <c r="F346" s="20"/>
      <c r="G346" s="18"/>
      <c r="H346" s="18"/>
      <c r="I346" s="18"/>
      <c r="J346" s="18"/>
      <c r="K346" s="18"/>
      <c r="L346" s="21"/>
      <c r="M346" s="21"/>
      <c r="N346" s="11"/>
      <c r="O346" s="11"/>
      <c r="P346" s="11"/>
      <c r="Q346" s="11"/>
      <c r="R346" s="11"/>
      <c r="S346" s="11"/>
      <c r="T346" s="11"/>
      <c r="U346" s="11"/>
      <c r="V346" s="11"/>
      <c r="W346" s="11"/>
      <c r="X346" s="11"/>
      <c r="Y346" s="11"/>
      <c r="Z346" s="11"/>
    </row>
    <row r="347" ht="15.75" customHeight="1">
      <c r="A347" s="16"/>
      <c r="B347" s="16"/>
      <c r="C347" s="18"/>
      <c r="D347" s="18"/>
      <c r="E347" s="18"/>
      <c r="F347" s="20"/>
      <c r="G347" s="18"/>
      <c r="H347" s="18"/>
      <c r="I347" s="18"/>
      <c r="J347" s="18"/>
      <c r="K347" s="18"/>
      <c r="L347" s="21"/>
      <c r="M347" s="21"/>
      <c r="N347" s="11"/>
      <c r="O347" s="11"/>
      <c r="P347" s="11"/>
      <c r="Q347" s="11"/>
      <c r="R347" s="11"/>
      <c r="S347" s="11"/>
      <c r="T347" s="11"/>
      <c r="U347" s="11"/>
      <c r="V347" s="11"/>
      <c r="W347" s="11"/>
      <c r="X347" s="11"/>
      <c r="Y347" s="11"/>
      <c r="Z347" s="11"/>
    </row>
    <row r="348" ht="15.75" customHeight="1">
      <c r="A348" s="16"/>
      <c r="B348" s="16"/>
      <c r="C348" s="18"/>
      <c r="D348" s="18"/>
      <c r="E348" s="18"/>
      <c r="F348" s="20"/>
      <c r="G348" s="18"/>
      <c r="H348" s="18"/>
      <c r="I348" s="18"/>
      <c r="J348" s="18"/>
      <c r="K348" s="18"/>
      <c r="L348" s="21"/>
      <c r="M348" s="21"/>
      <c r="N348" s="11"/>
      <c r="O348" s="11"/>
      <c r="P348" s="11"/>
      <c r="Q348" s="11"/>
      <c r="R348" s="11"/>
      <c r="S348" s="11"/>
      <c r="T348" s="11"/>
      <c r="U348" s="11"/>
      <c r="V348" s="11"/>
      <c r="W348" s="11"/>
      <c r="X348" s="11"/>
      <c r="Y348" s="11"/>
      <c r="Z348" s="11"/>
    </row>
    <row r="349" ht="15.75" customHeight="1">
      <c r="A349" s="16"/>
      <c r="B349" s="16"/>
      <c r="C349" s="18"/>
      <c r="D349" s="18"/>
      <c r="E349" s="18"/>
      <c r="F349" s="20"/>
      <c r="G349" s="18"/>
      <c r="H349" s="18"/>
      <c r="I349" s="18"/>
      <c r="J349" s="18"/>
      <c r="K349" s="18"/>
      <c r="L349" s="21"/>
      <c r="M349" s="21"/>
      <c r="N349" s="11"/>
      <c r="O349" s="11"/>
      <c r="P349" s="11"/>
      <c r="Q349" s="11"/>
      <c r="R349" s="11"/>
      <c r="S349" s="11"/>
      <c r="T349" s="11"/>
      <c r="U349" s="11"/>
      <c r="V349" s="11"/>
      <c r="W349" s="11"/>
      <c r="X349" s="11"/>
      <c r="Y349" s="11"/>
      <c r="Z349" s="11"/>
    </row>
    <row r="350" ht="15.75" customHeight="1">
      <c r="A350" s="16"/>
      <c r="B350" s="16"/>
      <c r="C350" s="18"/>
      <c r="D350" s="18"/>
      <c r="E350" s="18"/>
      <c r="F350" s="20"/>
      <c r="G350" s="18"/>
      <c r="H350" s="18"/>
      <c r="I350" s="18"/>
      <c r="J350" s="18"/>
      <c r="K350" s="18"/>
      <c r="L350" s="21"/>
      <c r="M350" s="21"/>
      <c r="N350" s="11"/>
      <c r="O350" s="11"/>
      <c r="P350" s="11"/>
      <c r="Q350" s="11"/>
      <c r="R350" s="11"/>
      <c r="S350" s="11"/>
      <c r="T350" s="11"/>
      <c r="U350" s="11"/>
      <c r="V350" s="11"/>
      <c r="W350" s="11"/>
      <c r="X350" s="11"/>
      <c r="Y350" s="11"/>
      <c r="Z350" s="11"/>
    </row>
    <row r="351" ht="15.75" customHeight="1">
      <c r="A351" s="16"/>
      <c r="B351" s="16"/>
      <c r="C351" s="18"/>
      <c r="D351" s="18"/>
      <c r="E351" s="18"/>
      <c r="F351" s="20"/>
      <c r="G351" s="18"/>
      <c r="H351" s="18"/>
      <c r="I351" s="18"/>
      <c r="J351" s="18"/>
      <c r="K351" s="18"/>
      <c r="L351" s="21"/>
      <c r="M351" s="21"/>
      <c r="N351" s="11"/>
      <c r="O351" s="11"/>
      <c r="P351" s="11"/>
      <c r="Q351" s="11"/>
      <c r="R351" s="11"/>
      <c r="S351" s="11"/>
      <c r="T351" s="11"/>
      <c r="U351" s="11"/>
      <c r="V351" s="11"/>
      <c r="W351" s="11"/>
      <c r="X351" s="11"/>
      <c r="Y351" s="11"/>
      <c r="Z351" s="11"/>
    </row>
    <row r="352" ht="15.75" customHeight="1">
      <c r="A352" s="16"/>
      <c r="B352" s="16"/>
      <c r="C352" s="18"/>
      <c r="D352" s="18"/>
      <c r="E352" s="18"/>
      <c r="F352" s="20"/>
      <c r="G352" s="18"/>
      <c r="H352" s="18"/>
      <c r="I352" s="18"/>
      <c r="J352" s="18"/>
      <c r="K352" s="18"/>
      <c r="L352" s="21"/>
      <c r="M352" s="21"/>
      <c r="N352" s="11"/>
      <c r="O352" s="11"/>
      <c r="P352" s="11"/>
      <c r="Q352" s="11"/>
      <c r="R352" s="11"/>
      <c r="S352" s="11"/>
      <c r="T352" s="11"/>
      <c r="U352" s="11"/>
      <c r="V352" s="11"/>
      <c r="W352" s="11"/>
      <c r="X352" s="11"/>
      <c r="Y352" s="11"/>
      <c r="Z352" s="11"/>
    </row>
    <row r="353" ht="15.75" customHeight="1">
      <c r="A353" s="16"/>
      <c r="B353" s="16"/>
      <c r="C353" s="18"/>
      <c r="D353" s="18"/>
      <c r="E353" s="18"/>
      <c r="F353" s="20"/>
      <c r="G353" s="18"/>
      <c r="H353" s="18"/>
      <c r="I353" s="18"/>
      <c r="J353" s="18"/>
      <c r="K353" s="18"/>
      <c r="L353" s="21"/>
      <c r="M353" s="21"/>
      <c r="N353" s="11"/>
      <c r="O353" s="11"/>
      <c r="P353" s="11"/>
      <c r="Q353" s="11"/>
      <c r="R353" s="11"/>
      <c r="S353" s="11"/>
      <c r="T353" s="11"/>
      <c r="U353" s="11"/>
      <c r="V353" s="11"/>
      <c r="W353" s="11"/>
      <c r="X353" s="11"/>
      <c r="Y353" s="11"/>
      <c r="Z353" s="11"/>
    </row>
    <row r="354" ht="15.75" customHeight="1">
      <c r="A354" s="16"/>
      <c r="B354" s="16"/>
      <c r="C354" s="18"/>
      <c r="D354" s="18"/>
      <c r="E354" s="18"/>
      <c r="F354" s="20"/>
      <c r="G354" s="18"/>
      <c r="H354" s="18"/>
      <c r="I354" s="18"/>
      <c r="J354" s="18"/>
      <c r="K354" s="18"/>
      <c r="L354" s="21"/>
      <c r="M354" s="21"/>
      <c r="N354" s="11"/>
      <c r="O354" s="11"/>
      <c r="P354" s="11"/>
      <c r="Q354" s="11"/>
      <c r="R354" s="11"/>
      <c r="S354" s="11"/>
      <c r="T354" s="11"/>
      <c r="U354" s="11"/>
      <c r="V354" s="11"/>
      <c r="W354" s="11"/>
      <c r="X354" s="11"/>
      <c r="Y354" s="11"/>
      <c r="Z354" s="11"/>
    </row>
    <row r="355" ht="15.75" customHeight="1">
      <c r="A355" s="16"/>
      <c r="B355" s="16"/>
      <c r="C355" s="18"/>
      <c r="D355" s="18"/>
      <c r="E355" s="18"/>
      <c r="F355" s="20"/>
      <c r="G355" s="18"/>
      <c r="H355" s="18"/>
      <c r="I355" s="18"/>
      <c r="J355" s="18"/>
      <c r="K355" s="18"/>
      <c r="L355" s="21"/>
      <c r="M355" s="21"/>
      <c r="N355" s="11"/>
      <c r="O355" s="11"/>
      <c r="P355" s="11"/>
      <c r="Q355" s="11"/>
      <c r="R355" s="11"/>
      <c r="S355" s="11"/>
      <c r="T355" s="11"/>
      <c r="U355" s="11"/>
      <c r="V355" s="11"/>
      <c r="W355" s="11"/>
      <c r="X355" s="11"/>
      <c r="Y355" s="11"/>
      <c r="Z355" s="11"/>
    </row>
    <row r="356" ht="15.75" customHeight="1">
      <c r="A356" s="16"/>
      <c r="B356" s="16"/>
      <c r="C356" s="18"/>
      <c r="D356" s="18"/>
      <c r="E356" s="18"/>
      <c r="F356" s="20"/>
      <c r="G356" s="18"/>
      <c r="H356" s="18"/>
      <c r="I356" s="18"/>
      <c r="J356" s="18"/>
      <c r="K356" s="18"/>
      <c r="L356" s="21"/>
      <c r="M356" s="21"/>
      <c r="N356" s="11"/>
      <c r="O356" s="11"/>
      <c r="P356" s="11"/>
      <c r="Q356" s="11"/>
      <c r="R356" s="11"/>
      <c r="S356" s="11"/>
      <c r="T356" s="11"/>
      <c r="U356" s="11"/>
      <c r="V356" s="11"/>
      <c r="W356" s="11"/>
      <c r="X356" s="11"/>
      <c r="Y356" s="11"/>
      <c r="Z356" s="11"/>
    </row>
    <row r="357" ht="15.75" customHeight="1">
      <c r="A357" s="16"/>
      <c r="B357" s="16"/>
      <c r="C357" s="18"/>
      <c r="D357" s="18"/>
      <c r="E357" s="18"/>
      <c r="F357" s="20"/>
      <c r="G357" s="18"/>
      <c r="H357" s="18"/>
      <c r="I357" s="18"/>
      <c r="J357" s="18"/>
      <c r="K357" s="18"/>
      <c r="L357" s="21"/>
      <c r="M357" s="21"/>
      <c r="N357" s="11"/>
      <c r="O357" s="11"/>
      <c r="P357" s="11"/>
      <c r="Q357" s="11"/>
      <c r="R357" s="11"/>
      <c r="S357" s="11"/>
      <c r="T357" s="11"/>
      <c r="U357" s="11"/>
      <c r="V357" s="11"/>
      <c r="W357" s="11"/>
      <c r="X357" s="11"/>
      <c r="Y357" s="11"/>
      <c r="Z357" s="11"/>
    </row>
    <row r="358" ht="15.75" customHeight="1">
      <c r="A358" s="16"/>
      <c r="B358" s="16"/>
      <c r="C358" s="18"/>
      <c r="D358" s="18"/>
      <c r="E358" s="18"/>
      <c r="F358" s="20"/>
      <c r="G358" s="18"/>
      <c r="H358" s="18"/>
      <c r="I358" s="18"/>
      <c r="J358" s="18"/>
      <c r="K358" s="18"/>
      <c r="L358" s="21"/>
      <c r="M358" s="21"/>
      <c r="N358" s="11"/>
      <c r="O358" s="11"/>
      <c r="P358" s="11"/>
      <c r="Q358" s="11"/>
      <c r="R358" s="11"/>
      <c r="S358" s="11"/>
      <c r="T358" s="11"/>
      <c r="U358" s="11"/>
      <c r="V358" s="11"/>
      <c r="W358" s="11"/>
      <c r="X358" s="11"/>
      <c r="Y358" s="11"/>
      <c r="Z358" s="11"/>
    </row>
    <row r="359" ht="15.75" customHeight="1">
      <c r="A359" s="16"/>
      <c r="B359" s="16"/>
      <c r="C359" s="18"/>
      <c r="D359" s="18"/>
      <c r="E359" s="18"/>
      <c r="F359" s="20"/>
      <c r="G359" s="18"/>
      <c r="H359" s="18"/>
      <c r="I359" s="18"/>
      <c r="J359" s="18"/>
      <c r="K359" s="18"/>
      <c r="L359" s="21"/>
      <c r="M359" s="21"/>
      <c r="N359" s="11"/>
      <c r="O359" s="11"/>
      <c r="P359" s="11"/>
      <c r="Q359" s="11"/>
      <c r="R359" s="11"/>
      <c r="S359" s="11"/>
      <c r="T359" s="11"/>
      <c r="U359" s="11"/>
      <c r="V359" s="11"/>
      <c r="W359" s="11"/>
      <c r="X359" s="11"/>
      <c r="Y359" s="11"/>
      <c r="Z359" s="11"/>
    </row>
    <row r="360" ht="15.75" customHeight="1">
      <c r="A360" s="16"/>
      <c r="B360" s="16"/>
      <c r="C360" s="18"/>
      <c r="D360" s="18"/>
      <c r="E360" s="18"/>
      <c r="F360" s="20"/>
      <c r="G360" s="18"/>
      <c r="H360" s="18"/>
      <c r="I360" s="18"/>
      <c r="J360" s="18"/>
      <c r="K360" s="18"/>
      <c r="L360" s="21"/>
      <c r="M360" s="21"/>
      <c r="N360" s="11"/>
      <c r="O360" s="11"/>
      <c r="P360" s="11"/>
      <c r="Q360" s="11"/>
      <c r="R360" s="11"/>
      <c r="S360" s="11"/>
      <c r="T360" s="11"/>
      <c r="U360" s="11"/>
      <c r="V360" s="11"/>
      <c r="W360" s="11"/>
      <c r="X360" s="11"/>
      <c r="Y360" s="11"/>
      <c r="Z360" s="11"/>
    </row>
    <row r="361" ht="15.75" customHeight="1">
      <c r="A361" s="16"/>
      <c r="B361" s="16"/>
      <c r="C361" s="18"/>
      <c r="D361" s="18"/>
      <c r="E361" s="18"/>
      <c r="F361" s="20"/>
      <c r="G361" s="18"/>
      <c r="H361" s="18"/>
      <c r="I361" s="18"/>
      <c r="J361" s="18"/>
      <c r="K361" s="18"/>
      <c r="L361" s="21"/>
      <c r="M361" s="21"/>
      <c r="N361" s="11"/>
      <c r="O361" s="11"/>
      <c r="P361" s="11"/>
      <c r="Q361" s="11"/>
      <c r="R361" s="11"/>
      <c r="S361" s="11"/>
      <c r="T361" s="11"/>
      <c r="U361" s="11"/>
      <c r="V361" s="11"/>
      <c r="W361" s="11"/>
      <c r="X361" s="11"/>
      <c r="Y361" s="11"/>
      <c r="Z361" s="11"/>
    </row>
    <row r="362" ht="15.75" customHeight="1">
      <c r="A362" s="16"/>
      <c r="B362" s="16"/>
      <c r="C362" s="18"/>
      <c r="D362" s="18"/>
      <c r="E362" s="18"/>
      <c r="F362" s="20"/>
      <c r="G362" s="18"/>
      <c r="H362" s="18"/>
      <c r="I362" s="18"/>
      <c r="J362" s="18"/>
      <c r="K362" s="18"/>
      <c r="L362" s="21"/>
      <c r="M362" s="21"/>
      <c r="N362" s="11"/>
      <c r="O362" s="11"/>
      <c r="P362" s="11"/>
      <c r="Q362" s="11"/>
      <c r="R362" s="11"/>
      <c r="S362" s="11"/>
      <c r="T362" s="11"/>
      <c r="U362" s="11"/>
      <c r="V362" s="11"/>
      <c r="W362" s="11"/>
      <c r="X362" s="11"/>
      <c r="Y362" s="11"/>
      <c r="Z362" s="11"/>
    </row>
    <row r="363" ht="15.75" customHeight="1">
      <c r="A363" s="16"/>
      <c r="B363" s="16"/>
      <c r="C363" s="18"/>
      <c r="D363" s="18"/>
      <c r="E363" s="18"/>
      <c r="F363" s="20"/>
      <c r="G363" s="18"/>
      <c r="H363" s="18"/>
      <c r="I363" s="18"/>
      <c r="J363" s="18"/>
      <c r="K363" s="18"/>
      <c r="L363" s="21"/>
      <c r="M363" s="21"/>
      <c r="N363" s="11"/>
      <c r="O363" s="11"/>
      <c r="P363" s="11"/>
      <c r="Q363" s="11"/>
      <c r="R363" s="11"/>
      <c r="S363" s="11"/>
      <c r="T363" s="11"/>
      <c r="U363" s="11"/>
      <c r="V363" s="11"/>
      <c r="W363" s="11"/>
      <c r="X363" s="11"/>
      <c r="Y363" s="11"/>
      <c r="Z363" s="11"/>
    </row>
    <row r="364" ht="15.75" customHeight="1">
      <c r="A364" s="16"/>
      <c r="B364" s="16"/>
      <c r="C364" s="18"/>
      <c r="D364" s="18"/>
      <c r="E364" s="18"/>
      <c r="F364" s="20"/>
      <c r="G364" s="18"/>
      <c r="H364" s="18"/>
      <c r="I364" s="18"/>
      <c r="J364" s="18"/>
      <c r="K364" s="18"/>
      <c r="L364" s="21"/>
      <c r="M364" s="21"/>
      <c r="N364" s="11"/>
      <c r="O364" s="11"/>
      <c r="P364" s="11"/>
      <c r="Q364" s="11"/>
      <c r="R364" s="11"/>
      <c r="S364" s="11"/>
      <c r="T364" s="11"/>
      <c r="U364" s="11"/>
      <c r="V364" s="11"/>
      <c r="W364" s="11"/>
      <c r="X364" s="11"/>
      <c r="Y364" s="11"/>
      <c r="Z364" s="11"/>
    </row>
    <row r="365" ht="15.75" customHeight="1">
      <c r="A365" s="16"/>
      <c r="B365" s="16"/>
      <c r="C365" s="18"/>
      <c r="D365" s="18"/>
      <c r="E365" s="18"/>
      <c r="F365" s="20"/>
      <c r="G365" s="18"/>
      <c r="H365" s="18"/>
      <c r="I365" s="18"/>
      <c r="J365" s="18"/>
      <c r="K365" s="18"/>
      <c r="L365" s="21"/>
      <c r="M365" s="21"/>
      <c r="N365" s="11"/>
      <c r="O365" s="11"/>
      <c r="P365" s="11"/>
      <c r="Q365" s="11"/>
      <c r="R365" s="11"/>
      <c r="S365" s="11"/>
      <c r="T365" s="11"/>
      <c r="U365" s="11"/>
      <c r="V365" s="11"/>
      <c r="W365" s="11"/>
      <c r="X365" s="11"/>
      <c r="Y365" s="11"/>
      <c r="Z365" s="11"/>
    </row>
    <row r="366" ht="15.75" customHeight="1">
      <c r="A366" s="16"/>
      <c r="B366" s="16"/>
      <c r="C366" s="18"/>
      <c r="D366" s="18"/>
      <c r="E366" s="18"/>
      <c r="F366" s="20"/>
      <c r="G366" s="18"/>
      <c r="H366" s="18"/>
      <c r="I366" s="18"/>
      <c r="J366" s="18"/>
      <c r="K366" s="18"/>
      <c r="L366" s="21"/>
      <c r="M366" s="21"/>
      <c r="N366" s="11"/>
      <c r="O366" s="11"/>
      <c r="P366" s="11"/>
      <c r="Q366" s="11"/>
      <c r="R366" s="11"/>
      <c r="S366" s="11"/>
      <c r="T366" s="11"/>
      <c r="U366" s="11"/>
      <c r="V366" s="11"/>
      <c r="W366" s="11"/>
      <c r="X366" s="11"/>
      <c r="Y366" s="11"/>
      <c r="Z366" s="11"/>
    </row>
    <row r="367" ht="15.75" customHeight="1">
      <c r="A367" s="16"/>
      <c r="B367" s="16"/>
      <c r="C367" s="18"/>
      <c r="D367" s="18"/>
      <c r="E367" s="18"/>
      <c r="F367" s="20"/>
      <c r="G367" s="18"/>
      <c r="H367" s="18"/>
      <c r="I367" s="18"/>
      <c r="J367" s="18"/>
      <c r="K367" s="18"/>
      <c r="L367" s="21"/>
      <c r="M367" s="21"/>
      <c r="N367" s="11"/>
      <c r="O367" s="11"/>
      <c r="P367" s="11"/>
      <c r="Q367" s="11"/>
      <c r="R367" s="11"/>
      <c r="S367" s="11"/>
      <c r="T367" s="11"/>
      <c r="U367" s="11"/>
      <c r="V367" s="11"/>
      <c r="W367" s="11"/>
      <c r="X367" s="11"/>
      <c r="Y367" s="11"/>
      <c r="Z367" s="11"/>
    </row>
    <row r="368" ht="15.75" customHeight="1">
      <c r="A368" s="16"/>
      <c r="B368" s="16"/>
      <c r="C368" s="18"/>
      <c r="D368" s="18"/>
      <c r="E368" s="18"/>
      <c r="F368" s="20"/>
      <c r="G368" s="18"/>
      <c r="H368" s="18"/>
      <c r="I368" s="18"/>
      <c r="J368" s="18"/>
      <c r="K368" s="18"/>
      <c r="L368" s="21"/>
      <c r="M368" s="21"/>
      <c r="N368" s="11"/>
      <c r="O368" s="11"/>
      <c r="P368" s="11"/>
      <c r="Q368" s="11"/>
      <c r="R368" s="11"/>
      <c r="S368" s="11"/>
      <c r="T368" s="11"/>
      <c r="U368" s="11"/>
      <c r="V368" s="11"/>
      <c r="W368" s="11"/>
      <c r="X368" s="11"/>
      <c r="Y368" s="11"/>
      <c r="Z368" s="11"/>
    </row>
    <row r="369" ht="15.75" customHeight="1">
      <c r="A369" s="16"/>
      <c r="B369" s="16"/>
      <c r="C369" s="18"/>
      <c r="D369" s="18"/>
      <c r="E369" s="18"/>
      <c r="F369" s="20"/>
      <c r="G369" s="18"/>
      <c r="H369" s="18"/>
      <c r="I369" s="18"/>
      <c r="J369" s="18"/>
      <c r="K369" s="18"/>
      <c r="L369" s="21"/>
      <c r="M369" s="21"/>
      <c r="N369" s="11"/>
      <c r="O369" s="11"/>
      <c r="P369" s="11"/>
      <c r="Q369" s="11"/>
      <c r="R369" s="11"/>
      <c r="S369" s="11"/>
      <c r="T369" s="11"/>
      <c r="U369" s="11"/>
      <c r="V369" s="11"/>
      <c r="W369" s="11"/>
      <c r="X369" s="11"/>
      <c r="Y369" s="11"/>
      <c r="Z369" s="11"/>
    </row>
    <row r="370" ht="15.75" customHeight="1">
      <c r="A370" s="16"/>
      <c r="B370" s="16"/>
      <c r="C370" s="18"/>
      <c r="D370" s="18"/>
      <c r="E370" s="18"/>
      <c r="F370" s="20"/>
      <c r="G370" s="18"/>
      <c r="H370" s="18"/>
      <c r="I370" s="18"/>
      <c r="J370" s="18"/>
      <c r="K370" s="18"/>
      <c r="L370" s="21"/>
      <c r="M370" s="21"/>
      <c r="N370" s="11"/>
      <c r="O370" s="11"/>
      <c r="P370" s="11"/>
      <c r="Q370" s="11"/>
      <c r="R370" s="11"/>
      <c r="S370" s="11"/>
      <c r="T370" s="11"/>
      <c r="U370" s="11"/>
      <c r="V370" s="11"/>
      <c r="W370" s="11"/>
      <c r="X370" s="11"/>
      <c r="Y370" s="11"/>
      <c r="Z370" s="11"/>
    </row>
    <row r="371" ht="15.75" customHeight="1">
      <c r="A371" s="16"/>
      <c r="B371" s="16"/>
      <c r="C371" s="18"/>
      <c r="D371" s="18"/>
      <c r="E371" s="18"/>
      <c r="F371" s="20"/>
      <c r="G371" s="18"/>
      <c r="H371" s="18"/>
      <c r="I371" s="18"/>
      <c r="J371" s="18"/>
      <c r="K371" s="18"/>
      <c r="L371" s="21"/>
      <c r="M371" s="21"/>
      <c r="N371" s="11"/>
      <c r="O371" s="11"/>
      <c r="P371" s="11"/>
      <c r="Q371" s="11"/>
      <c r="R371" s="11"/>
      <c r="S371" s="11"/>
      <c r="T371" s="11"/>
      <c r="U371" s="11"/>
      <c r="V371" s="11"/>
      <c r="W371" s="11"/>
      <c r="X371" s="11"/>
      <c r="Y371" s="11"/>
      <c r="Z371" s="11"/>
    </row>
    <row r="372" ht="15.75" customHeight="1">
      <c r="A372" s="16"/>
      <c r="B372" s="16"/>
      <c r="C372" s="18"/>
      <c r="D372" s="18"/>
      <c r="E372" s="18"/>
      <c r="F372" s="20"/>
      <c r="G372" s="18"/>
      <c r="H372" s="18"/>
      <c r="I372" s="18"/>
      <c r="J372" s="18"/>
      <c r="K372" s="18"/>
      <c r="L372" s="21"/>
      <c r="M372" s="21"/>
      <c r="N372" s="11"/>
      <c r="O372" s="11"/>
      <c r="P372" s="11"/>
      <c r="Q372" s="11"/>
      <c r="R372" s="11"/>
      <c r="S372" s="11"/>
      <c r="T372" s="11"/>
      <c r="U372" s="11"/>
      <c r="V372" s="11"/>
      <c r="W372" s="11"/>
      <c r="X372" s="11"/>
      <c r="Y372" s="11"/>
      <c r="Z372" s="11"/>
    </row>
    <row r="373" ht="15.75" customHeight="1">
      <c r="A373" s="16"/>
      <c r="B373" s="16"/>
      <c r="C373" s="18"/>
      <c r="D373" s="18"/>
      <c r="E373" s="18"/>
      <c r="F373" s="20"/>
      <c r="G373" s="18"/>
      <c r="H373" s="18"/>
      <c r="I373" s="18"/>
      <c r="J373" s="18"/>
      <c r="K373" s="18"/>
      <c r="L373" s="21"/>
      <c r="M373" s="21"/>
      <c r="N373" s="11"/>
      <c r="O373" s="11"/>
      <c r="P373" s="11"/>
      <c r="Q373" s="11"/>
      <c r="R373" s="11"/>
      <c r="S373" s="11"/>
      <c r="T373" s="11"/>
      <c r="U373" s="11"/>
      <c r="V373" s="11"/>
      <c r="W373" s="11"/>
      <c r="X373" s="11"/>
      <c r="Y373" s="11"/>
      <c r="Z373" s="11"/>
    </row>
    <row r="374" ht="15.75" customHeight="1">
      <c r="A374" s="16"/>
      <c r="B374" s="16"/>
      <c r="C374" s="18"/>
      <c r="D374" s="18"/>
      <c r="E374" s="18"/>
      <c r="F374" s="20"/>
      <c r="G374" s="18"/>
      <c r="H374" s="18"/>
      <c r="I374" s="18"/>
      <c r="J374" s="18"/>
      <c r="K374" s="18"/>
      <c r="L374" s="21"/>
      <c r="M374" s="21"/>
      <c r="N374" s="11"/>
      <c r="O374" s="11"/>
      <c r="P374" s="11"/>
      <c r="Q374" s="11"/>
      <c r="R374" s="11"/>
      <c r="S374" s="11"/>
      <c r="T374" s="11"/>
      <c r="U374" s="11"/>
      <c r="V374" s="11"/>
      <c r="W374" s="11"/>
      <c r="X374" s="11"/>
      <c r="Y374" s="11"/>
      <c r="Z374" s="11"/>
    </row>
    <row r="375" ht="15.75" customHeight="1">
      <c r="A375" s="16"/>
      <c r="B375" s="16"/>
      <c r="C375" s="18"/>
      <c r="D375" s="18"/>
      <c r="E375" s="18"/>
      <c r="F375" s="20"/>
      <c r="G375" s="18"/>
      <c r="H375" s="18"/>
      <c r="I375" s="18"/>
      <c r="J375" s="18"/>
      <c r="K375" s="18"/>
      <c r="L375" s="21"/>
      <c r="M375" s="21"/>
      <c r="N375" s="11"/>
      <c r="O375" s="11"/>
      <c r="P375" s="11"/>
      <c r="Q375" s="11"/>
      <c r="R375" s="11"/>
      <c r="S375" s="11"/>
      <c r="T375" s="11"/>
      <c r="U375" s="11"/>
      <c r="V375" s="11"/>
      <c r="W375" s="11"/>
      <c r="X375" s="11"/>
      <c r="Y375" s="11"/>
      <c r="Z375" s="11"/>
    </row>
    <row r="376" ht="15.75" customHeight="1">
      <c r="A376" s="16"/>
      <c r="B376" s="16"/>
      <c r="C376" s="18"/>
      <c r="D376" s="18"/>
      <c r="E376" s="18"/>
      <c r="F376" s="20"/>
      <c r="G376" s="18"/>
      <c r="H376" s="18"/>
      <c r="I376" s="18"/>
      <c r="J376" s="18"/>
      <c r="K376" s="18"/>
      <c r="L376" s="21"/>
      <c r="M376" s="21"/>
      <c r="N376" s="11"/>
      <c r="O376" s="11"/>
      <c r="P376" s="11"/>
      <c r="Q376" s="11"/>
      <c r="R376" s="11"/>
      <c r="S376" s="11"/>
      <c r="T376" s="11"/>
      <c r="U376" s="11"/>
      <c r="V376" s="11"/>
      <c r="W376" s="11"/>
      <c r="X376" s="11"/>
      <c r="Y376" s="11"/>
      <c r="Z376" s="11"/>
    </row>
    <row r="377" ht="15.75" customHeight="1">
      <c r="A377" s="16"/>
      <c r="B377" s="16"/>
      <c r="C377" s="18"/>
      <c r="D377" s="18"/>
      <c r="E377" s="18"/>
      <c r="F377" s="20"/>
      <c r="G377" s="18"/>
      <c r="H377" s="18"/>
      <c r="I377" s="18"/>
      <c r="J377" s="18"/>
      <c r="K377" s="18"/>
      <c r="L377" s="21"/>
      <c r="M377" s="21"/>
      <c r="N377" s="11"/>
      <c r="O377" s="11"/>
      <c r="P377" s="11"/>
      <c r="Q377" s="11"/>
      <c r="R377" s="11"/>
      <c r="S377" s="11"/>
      <c r="T377" s="11"/>
      <c r="U377" s="11"/>
      <c r="V377" s="11"/>
      <c r="W377" s="11"/>
      <c r="X377" s="11"/>
      <c r="Y377" s="11"/>
      <c r="Z377" s="11"/>
    </row>
    <row r="378" ht="15.75" customHeight="1">
      <c r="A378" s="16"/>
      <c r="B378" s="16"/>
      <c r="C378" s="18"/>
      <c r="D378" s="18"/>
      <c r="E378" s="18"/>
      <c r="F378" s="20"/>
      <c r="G378" s="18"/>
      <c r="H378" s="18"/>
      <c r="I378" s="18"/>
      <c r="J378" s="18"/>
      <c r="K378" s="18"/>
      <c r="L378" s="21"/>
      <c r="M378" s="21"/>
      <c r="N378" s="11"/>
      <c r="O378" s="11"/>
      <c r="P378" s="11"/>
      <c r="Q378" s="11"/>
      <c r="R378" s="11"/>
      <c r="S378" s="11"/>
      <c r="T378" s="11"/>
      <c r="U378" s="11"/>
      <c r="V378" s="11"/>
      <c r="W378" s="11"/>
      <c r="X378" s="11"/>
      <c r="Y378" s="11"/>
      <c r="Z378" s="11"/>
    </row>
    <row r="379" ht="15.75" customHeight="1">
      <c r="A379" s="16"/>
      <c r="B379" s="16"/>
      <c r="C379" s="18"/>
      <c r="D379" s="18"/>
      <c r="E379" s="18"/>
      <c r="F379" s="20"/>
      <c r="G379" s="18"/>
      <c r="H379" s="18"/>
      <c r="I379" s="18"/>
      <c r="J379" s="18"/>
      <c r="K379" s="18"/>
      <c r="L379" s="21"/>
      <c r="M379" s="21"/>
      <c r="N379" s="11"/>
      <c r="O379" s="11"/>
      <c r="P379" s="11"/>
      <c r="Q379" s="11"/>
      <c r="R379" s="11"/>
      <c r="S379" s="11"/>
      <c r="T379" s="11"/>
      <c r="U379" s="11"/>
      <c r="V379" s="11"/>
      <c r="W379" s="11"/>
      <c r="X379" s="11"/>
      <c r="Y379" s="11"/>
      <c r="Z379" s="11"/>
    </row>
    <row r="380" ht="15.75" customHeight="1">
      <c r="A380" s="16"/>
      <c r="B380" s="16"/>
      <c r="C380" s="18"/>
      <c r="D380" s="18"/>
      <c r="E380" s="18"/>
      <c r="F380" s="20"/>
      <c r="G380" s="18"/>
      <c r="H380" s="18"/>
      <c r="I380" s="18"/>
      <c r="J380" s="18"/>
      <c r="K380" s="18"/>
      <c r="L380" s="21"/>
      <c r="M380" s="21"/>
      <c r="N380" s="11"/>
      <c r="O380" s="11"/>
      <c r="P380" s="11"/>
      <c r="Q380" s="11"/>
      <c r="R380" s="11"/>
      <c r="S380" s="11"/>
      <c r="T380" s="11"/>
      <c r="U380" s="11"/>
      <c r="V380" s="11"/>
      <c r="W380" s="11"/>
      <c r="X380" s="11"/>
      <c r="Y380" s="11"/>
      <c r="Z380" s="11"/>
    </row>
    <row r="381" ht="15.75" customHeight="1">
      <c r="A381" s="16"/>
      <c r="B381" s="16"/>
      <c r="C381" s="18"/>
      <c r="D381" s="18"/>
      <c r="E381" s="18"/>
      <c r="F381" s="20"/>
      <c r="G381" s="18"/>
      <c r="H381" s="18"/>
      <c r="I381" s="18"/>
      <c r="J381" s="18"/>
      <c r="K381" s="18"/>
      <c r="L381" s="21"/>
      <c r="M381" s="21"/>
      <c r="N381" s="11"/>
      <c r="O381" s="11"/>
      <c r="P381" s="11"/>
      <c r="Q381" s="11"/>
      <c r="R381" s="11"/>
      <c r="S381" s="11"/>
      <c r="T381" s="11"/>
      <c r="U381" s="11"/>
      <c r="V381" s="11"/>
      <c r="W381" s="11"/>
      <c r="X381" s="11"/>
      <c r="Y381" s="11"/>
      <c r="Z381" s="11"/>
    </row>
    <row r="382" ht="15.75" customHeight="1">
      <c r="A382" s="16"/>
      <c r="B382" s="16"/>
      <c r="C382" s="18"/>
      <c r="D382" s="18"/>
      <c r="E382" s="18"/>
      <c r="F382" s="20"/>
      <c r="G382" s="18"/>
      <c r="H382" s="18"/>
      <c r="I382" s="18"/>
      <c r="J382" s="18"/>
      <c r="K382" s="18"/>
      <c r="L382" s="21"/>
      <c r="M382" s="21"/>
      <c r="N382" s="11"/>
      <c r="O382" s="11"/>
      <c r="P382" s="11"/>
      <c r="Q382" s="11"/>
      <c r="R382" s="11"/>
      <c r="S382" s="11"/>
      <c r="T382" s="11"/>
      <c r="U382" s="11"/>
      <c r="V382" s="11"/>
      <c r="W382" s="11"/>
      <c r="X382" s="11"/>
      <c r="Y382" s="11"/>
      <c r="Z382" s="11"/>
    </row>
    <row r="383" ht="15.75" customHeight="1">
      <c r="A383" s="16"/>
      <c r="B383" s="16"/>
      <c r="C383" s="18"/>
      <c r="D383" s="18"/>
      <c r="E383" s="18"/>
      <c r="F383" s="20"/>
      <c r="G383" s="18"/>
      <c r="H383" s="18"/>
      <c r="I383" s="18"/>
      <c r="J383" s="18"/>
      <c r="K383" s="18"/>
      <c r="L383" s="21"/>
      <c r="M383" s="21"/>
      <c r="N383" s="11"/>
      <c r="O383" s="11"/>
      <c r="P383" s="11"/>
      <c r="Q383" s="11"/>
      <c r="R383" s="11"/>
      <c r="S383" s="11"/>
      <c r="T383" s="11"/>
      <c r="U383" s="11"/>
      <c r="V383" s="11"/>
      <c r="W383" s="11"/>
      <c r="X383" s="11"/>
      <c r="Y383" s="11"/>
      <c r="Z383" s="11"/>
    </row>
    <row r="384" ht="15.75" customHeight="1">
      <c r="A384" s="16"/>
      <c r="B384" s="16"/>
      <c r="C384" s="18"/>
      <c r="D384" s="18"/>
      <c r="E384" s="18"/>
      <c r="F384" s="20"/>
      <c r="G384" s="18"/>
      <c r="H384" s="18"/>
      <c r="I384" s="18"/>
      <c r="J384" s="18"/>
      <c r="K384" s="18"/>
      <c r="L384" s="21"/>
      <c r="M384" s="21"/>
      <c r="N384" s="11"/>
      <c r="O384" s="11"/>
      <c r="P384" s="11"/>
      <c r="Q384" s="11"/>
      <c r="R384" s="11"/>
      <c r="S384" s="11"/>
      <c r="T384" s="11"/>
      <c r="U384" s="11"/>
      <c r="V384" s="11"/>
      <c r="W384" s="11"/>
      <c r="X384" s="11"/>
      <c r="Y384" s="11"/>
      <c r="Z384" s="11"/>
    </row>
    <row r="385" ht="15.75" customHeight="1">
      <c r="A385" s="16"/>
      <c r="B385" s="16"/>
      <c r="C385" s="18"/>
      <c r="D385" s="18"/>
      <c r="E385" s="18"/>
      <c r="F385" s="20"/>
      <c r="G385" s="18"/>
      <c r="H385" s="18"/>
      <c r="I385" s="18"/>
      <c r="J385" s="18"/>
      <c r="K385" s="18"/>
      <c r="L385" s="21"/>
      <c r="M385" s="21"/>
      <c r="N385" s="11"/>
      <c r="O385" s="11"/>
      <c r="P385" s="11"/>
      <c r="Q385" s="11"/>
      <c r="R385" s="11"/>
      <c r="S385" s="11"/>
      <c r="T385" s="11"/>
      <c r="U385" s="11"/>
      <c r="V385" s="11"/>
      <c r="W385" s="11"/>
      <c r="X385" s="11"/>
      <c r="Y385" s="11"/>
      <c r="Z385" s="11"/>
    </row>
    <row r="386" ht="15.75" customHeight="1">
      <c r="A386" s="16"/>
      <c r="B386" s="16"/>
      <c r="C386" s="18"/>
      <c r="D386" s="18"/>
      <c r="E386" s="18"/>
      <c r="F386" s="20"/>
      <c r="G386" s="18"/>
      <c r="H386" s="18"/>
      <c r="I386" s="18"/>
      <c r="J386" s="18"/>
      <c r="K386" s="18"/>
      <c r="L386" s="21"/>
      <c r="M386" s="21"/>
      <c r="N386" s="11"/>
      <c r="O386" s="11"/>
      <c r="P386" s="11"/>
      <c r="Q386" s="11"/>
      <c r="R386" s="11"/>
      <c r="S386" s="11"/>
      <c r="T386" s="11"/>
      <c r="U386" s="11"/>
      <c r="V386" s="11"/>
      <c r="W386" s="11"/>
      <c r="X386" s="11"/>
      <c r="Y386" s="11"/>
      <c r="Z386" s="11"/>
    </row>
    <row r="387" ht="15.75" customHeight="1">
      <c r="A387" s="16"/>
      <c r="B387" s="16"/>
      <c r="C387" s="18"/>
      <c r="D387" s="18"/>
      <c r="E387" s="18"/>
      <c r="F387" s="20"/>
      <c r="G387" s="18"/>
      <c r="H387" s="18"/>
      <c r="I387" s="18"/>
      <c r="J387" s="18"/>
      <c r="K387" s="18"/>
      <c r="L387" s="21"/>
      <c r="M387" s="21"/>
      <c r="N387" s="11"/>
      <c r="O387" s="11"/>
      <c r="P387" s="11"/>
      <c r="Q387" s="11"/>
      <c r="R387" s="11"/>
      <c r="S387" s="11"/>
      <c r="T387" s="11"/>
      <c r="U387" s="11"/>
      <c r="V387" s="11"/>
      <c r="W387" s="11"/>
      <c r="X387" s="11"/>
      <c r="Y387" s="11"/>
      <c r="Z387" s="11"/>
    </row>
    <row r="388" ht="15.75" customHeight="1">
      <c r="A388" s="16"/>
      <c r="B388" s="16"/>
      <c r="C388" s="18"/>
      <c r="D388" s="18"/>
      <c r="E388" s="18"/>
      <c r="F388" s="20"/>
      <c r="G388" s="18"/>
      <c r="H388" s="18"/>
      <c r="I388" s="18"/>
      <c r="J388" s="18"/>
      <c r="K388" s="18"/>
      <c r="L388" s="21"/>
      <c r="M388" s="21"/>
      <c r="N388" s="11"/>
      <c r="O388" s="11"/>
      <c r="P388" s="11"/>
      <c r="Q388" s="11"/>
      <c r="R388" s="11"/>
      <c r="S388" s="11"/>
      <c r="T388" s="11"/>
      <c r="U388" s="11"/>
      <c r="V388" s="11"/>
      <c r="W388" s="11"/>
      <c r="X388" s="11"/>
      <c r="Y388" s="11"/>
      <c r="Z388" s="11"/>
    </row>
    <row r="389" ht="15.75" customHeight="1">
      <c r="A389" s="16"/>
      <c r="B389" s="16"/>
      <c r="C389" s="18"/>
      <c r="D389" s="18"/>
      <c r="E389" s="18"/>
      <c r="F389" s="20"/>
      <c r="G389" s="18"/>
      <c r="H389" s="18"/>
      <c r="I389" s="18"/>
      <c r="J389" s="18"/>
      <c r="K389" s="18"/>
      <c r="L389" s="21"/>
      <c r="M389" s="21"/>
      <c r="N389" s="11"/>
      <c r="O389" s="11"/>
      <c r="P389" s="11"/>
      <c r="Q389" s="11"/>
      <c r="R389" s="11"/>
      <c r="S389" s="11"/>
      <c r="T389" s="11"/>
      <c r="U389" s="11"/>
      <c r="V389" s="11"/>
      <c r="W389" s="11"/>
      <c r="X389" s="11"/>
      <c r="Y389" s="11"/>
      <c r="Z389" s="11"/>
    </row>
    <row r="390" ht="15.75" customHeight="1">
      <c r="A390" s="16"/>
      <c r="B390" s="16"/>
      <c r="C390" s="18"/>
      <c r="D390" s="18"/>
      <c r="E390" s="18"/>
      <c r="F390" s="20"/>
      <c r="G390" s="18"/>
      <c r="H390" s="18"/>
      <c r="I390" s="18"/>
      <c r="J390" s="18"/>
      <c r="K390" s="18"/>
      <c r="L390" s="21"/>
      <c r="M390" s="21"/>
      <c r="N390" s="11"/>
      <c r="O390" s="11"/>
      <c r="P390" s="11"/>
      <c r="Q390" s="11"/>
      <c r="R390" s="11"/>
      <c r="S390" s="11"/>
      <c r="T390" s="11"/>
      <c r="U390" s="11"/>
      <c r="V390" s="11"/>
      <c r="W390" s="11"/>
      <c r="X390" s="11"/>
      <c r="Y390" s="11"/>
      <c r="Z390" s="11"/>
    </row>
    <row r="391" ht="15.75" customHeight="1">
      <c r="A391" s="16"/>
      <c r="B391" s="16"/>
      <c r="C391" s="18"/>
      <c r="D391" s="18"/>
      <c r="E391" s="18"/>
      <c r="F391" s="20"/>
      <c r="G391" s="18"/>
      <c r="H391" s="18"/>
      <c r="I391" s="18"/>
      <c r="J391" s="18"/>
      <c r="K391" s="18"/>
      <c r="L391" s="21"/>
      <c r="M391" s="21"/>
      <c r="N391" s="11"/>
      <c r="O391" s="11"/>
      <c r="P391" s="11"/>
      <c r="Q391" s="11"/>
      <c r="R391" s="11"/>
      <c r="S391" s="11"/>
      <c r="T391" s="11"/>
      <c r="U391" s="11"/>
      <c r="V391" s="11"/>
      <c r="W391" s="11"/>
      <c r="X391" s="11"/>
      <c r="Y391" s="11"/>
      <c r="Z391" s="11"/>
    </row>
    <row r="392" ht="15.75" customHeight="1">
      <c r="A392" s="16"/>
      <c r="B392" s="16"/>
      <c r="C392" s="18"/>
      <c r="D392" s="18"/>
      <c r="E392" s="18"/>
      <c r="F392" s="20"/>
      <c r="G392" s="18"/>
      <c r="H392" s="18"/>
      <c r="I392" s="18"/>
      <c r="J392" s="18"/>
      <c r="K392" s="18"/>
      <c r="L392" s="21"/>
      <c r="M392" s="21"/>
      <c r="N392" s="11"/>
      <c r="O392" s="11"/>
      <c r="P392" s="11"/>
      <c r="Q392" s="11"/>
      <c r="R392" s="11"/>
      <c r="S392" s="11"/>
      <c r="T392" s="11"/>
      <c r="U392" s="11"/>
      <c r="V392" s="11"/>
      <c r="W392" s="11"/>
      <c r="X392" s="11"/>
      <c r="Y392" s="11"/>
      <c r="Z392" s="11"/>
    </row>
    <row r="393" ht="15.75" customHeight="1">
      <c r="A393" s="16"/>
      <c r="B393" s="16"/>
      <c r="C393" s="18"/>
      <c r="D393" s="18"/>
      <c r="E393" s="18"/>
      <c r="F393" s="20"/>
      <c r="G393" s="18"/>
      <c r="H393" s="18"/>
      <c r="I393" s="18"/>
      <c r="J393" s="18"/>
      <c r="K393" s="18"/>
      <c r="L393" s="21"/>
      <c r="M393" s="21"/>
      <c r="N393" s="11"/>
      <c r="O393" s="11"/>
      <c r="P393" s="11"/>
      <c r="Q393" s="11"/>
      <c r="R393" s="11"/>
      <c r="S393" s="11"/>
      <c r="T393" s="11"/>
      <c r="U393" s="11"/>
      <c r="V393" s="11"/>
      <c r="W393" s="11"/>
      <c r="X393" s="11"/>
      <c r="Y393" s="11"/>
      <c r="Z393" s="11"/>
    </row>
    <row r="394" ht="15.75" customHeight="1">
      <c r="A394" s="16"/>
      <c r="B394" s="16"/>
      <c r="C394" s="18"/>
      <c r="D394" s="18"/>
      <c r="E394" s="18"/>
      <c r="F394" s="20"/>
      <c r="G394" s="18"/>
      <c r="H394" s="18"/>
      <c r="I394" s="18"/>
      <c r="J394" s="18"/>
      <c r="K394" s="18"/>
      <c r="L394" s="21"/>
      <c r="M394" s="21"/>
      <c r="N394" s="11"/>
      <c r="O394" s="11"/>
      <c r="P394" s="11"/>
      <c r="Q394" s="11"/>
      <c r="R394" s="11"/>
      <c r="S394" s="11"/>
      <c r="T394" s="11"/>
      <c r="U394" s="11"/>
      <c r="V394" s="11"/>
      <c r="W394" s="11"/>
      <c r="X394" s="11"/>
      <c r="Y394" s="11"/>
      <c r="Z394" s="11"/>
    </row>
    <row r="395" ht="15.75" customHeight="1">
      <c r="A395" s="16"/>
      <c r="B395" s="16"/>
      <c r="C395" s="18"/>
      <c r="D395" s="18"/>
      <c r="E395" s="18"/>
      <c r="F395" s="20"/>
      <c r="G395" s="18"/>
      <c r="H395" s="18"/>
      <c r="I395" s="18"/>
      <c r="J395" s="18"/>
      <c r="K395" s="18"/>
      <c r="L395" s="21"/>
      <c r="M395" s="21"/>
      <c r="N395" s="11"/>
      <c r="O395" s="11"/>
      <c r="P395" s="11"/>
      <c r="Q395" s="11"/>
      <c r="R395" s="11"/>
      <c r="S395" s="11"/>
      <c r="T395" s="11"/>
      <c r="U395" s="11"/>
      <c r="V395" s="11"/>
      <c r="W395" s="11"/>
      <c r="X395" s="11"/>
      <c r="Y395" s="11"/>
      <c r="Z395" s="11"/>
    </row>
    <row r="396" ht="15.75" customHeight="1">
      <c r="A396" s="16"/>
      <c r="B396" s="16"/>
      <c r="C396" s="18"/>
      <c r="D396" s="18"/>
      <c r="E396" s="18"/>
      <c r="F396" s="20"/>
      <c r="G396" s="18"/>
      <c r="H396" s="18"/>
      <c r="I396" s="18"/>
      <c r="J396" s="18"/>
      <c r="K396" s="18"/>
      <c r="L396" s="21"/>
      <c r="M396" s="21"/>
      <c r="N396" s="11"/>
      <c r="O396" s="11"/>
      <c r="P396" s="11"/>
      <c r="Q396" s="11"/>
      <c r="R396" s="11"/>
      <c r="S396" s="11"/>
      <c r="T396" s="11"/>
      <c r="U396" s="11"/>
      <c r="V396" s="11"/>
      <c r="W396" s="11"/>
      <c r="X396" s="11"/>
      <c r="Y396" s="11"/>
      <c r="Z396" s="11"/>
    </row>
    <row r="397" ht="15.75" customHeight="1">
      <c r="A397" s="16"/>
      <c r="B397" s="16"/>
      <c r="C397" s="18"/>
      <c r="D397" s="18"/>
      <c r="E397" s="18"/>
      <c r="F397" s="20"/>
      <c r="G397" s="18"/>
      <c r="H397" s="18"/>
      <c r="I397" s="18"/>
      <c r="J397" s="18"/>
      <c r="K397" s="18"/>
      <c r="L397" s="21"/>
      <c r="M397" s="21"/>
      <c r="N397" s="11"/>
      <c r="O397" s="11"/>
      <c r="P397" s="11"/>
      <c r="Q397" s="11"/>
      <c r="R397" s="11"/>
      <c r="S397" s="11"/>
      <c r="T397" s="11"/>
      <c r="U397" s="11"/>
      <c r="V397" s="11"/>
      <c r="W397" s="11"/>
      <c r="X397" s="11"/>
      <c r="Y397" s="11"/>
      <c r="Z397" s="11"/>
    </row>
    <row r="398" ht="15.75" customHeight="1">
      <c r="A398" s="16"/>
      <c r="B398" s="16"/>
      <c r="C398" s="18"/>
      <c r="D398" s="18"/>
      <c r="E398" s="18"/>
      <c r="F398" s="20"/>
      <c r="G398" s="18"/>
      <c r="H398" s="18"/>
      <c r="I398" s="18"/>
      <c r="J398" s="18"/>
      <c r="K398" s="18"/>
      <c r="L398" s="21"/>
      <c r="M398" s="21"/>
      <c r="N398" s="11"/>
      <c r="O398" s="11"/>
      <c r="P398" s="11"/>
      <c r="Q398" s="11"/>
      <c r="R398" s="11"/>
      <c r="S398" s="11"/>
      <c r="T398" s="11"/>
      <c r="U398" s="11"/>
      <c r="V398" s="11"/>
      <c r="W398" s="11"/>
      <c r="X398" s="11"/>
      <c r="Y398" s="11"/>
      <c r="Z398" s="11"/>
    </row>
    <row r="399" ht="15.75" customHeight="1">
      <c r="A399" s="16"/>
      <c r="B399" s="16"/>
      <c r="C399" s="18"/>
      <c r="D399" s="18"/>
      <c r="E399" s="18"/>
      <c r="F399" s="20"/>
      <c r="G399" s="18"/>
      <c r="H399" s="18"/>
      <c r="I399" s="18"/>
      <c r="J399" s="18"/>
      <c r="K399" s="18"/>
      <c r="L399" s="21"/>
      <c r="M399" s="21"/>
      <c r="N399" s="11"/>
      <c r="O399" s="11"/>
      <c r="P399" s="11"/>
      <c r="Q399" s="11"/>
      <c r="R399" s="11"/>
      <c r="S399" s="11"/>
      <c r="T399" s="11"/>
      <c r="U399" s="11"/>
      <c r="V399" s="11"/>
      <c r="W399" s="11"/>
      <c r="X399" s="11"/>
      <c r="Y399" s="11"/>
      <c r="Z399" s="11"/>
    </row>
    <row r="400" ht="15.75" customHeight="1">
      <c r="A400" s="16"/>
      <c r="B400" s="16"/>
      <c r="C400" s="18"/>
      <c r="D400" s="18"/>
      <c r="E400" s="18"/>
      <c r="F400" s="20"/>
      <c r="G400" s="18"/>
      <c r="H400" s="18"/>
      <c r="I400" s="18"/>
      <c r="J400" s="18"/>
      <c r="K400" s="18"/>
      <c r="L400" s="21"/>
      <c r="M400" s="21"/>
      <c r="N400" s="11"/>
      <c r="O400" s="11"/>
      <c r="P400" s="11"/>
      <c r="Q400" s="11"/>
      <c r="R400" s="11"/>
      <c r="S400" s="11"/>
      <c r="T400" s="11"/>
      <c r="U400" s="11"/>
      <c r="V400" s="11"/>
      <c r="W400" s="11"/>
      <c r="X400" s="11"/>
      <c r="Y400" s="11"/>
      <c r="Z400" s="11"/>
    </row>
    <row r="401" ht="15.75" customHeight="1">
      <c r="A401" s="16"/>
      <c r="B401" s="16"/>
      <c r="C401" s="18"/>
      <c r="D401" s="18"/>
      <c r="E401" s="18"/>
      <c r="F401" s="20"/>
      <c r="G401" s="18"/>
      <c r="H401" s="18"/>
      <c r="I401" s="18"/>
      <c r="J401" s="18"/>
      <c r="K401" s="18"/>
      <c r="L401" s="21"/>
      <c r="M401" s="21"/>
      <c r="N401" s="11"/>
      <c r="O401" s="11"/>
      <c r="P401" s="11"/>
      <c r="Q401" s="11"/>
      <c r="R401" s="11"/>
      <c r="S401" s="11"/>
      <c r="T401" s="11"/>
      <c r="U401" s="11"/>
      <c r="V401" s="11"/>
      <c r="W401" s="11"/>
      <c r="X401" s="11"/>
      <c r="Y401" s="11"/>
      <c r="Z401" s="11"/>
    </row>
    <row r="402" ht="15.75" customHeight="1">
      <c r="A402" s="16"/>
      <c r="B402" s="16"/>
      <c r="C402" s="18"/>
      <c r="D402" s="18"/>
      <c r="E402" s="18"/>
      <c r="F402" s="20"/>
      <c r="G402" s="18"/>
      <c r="H402" s="18"/>
      <c r="I402" s="18"/>
      <c r="J402" s="18"/>
      <c r="K402" s="18"/>
      <c r="L402" s="21"/>
      <c r="M402" s="21"/>
      <c r="N402" s="11"/>
      <c r="O402" s="11"/>
      <c r="P402" s="11"/>
      <c r="Q402" s="11"/>
      <c r="R402" s="11"/>
      <c r="S402" s="11"/>
      <c r="T402" s="11"/>
      <c r="U402" s="11"/>
      <c r="V402" s="11"/>
      <c r="W402" s="11"/>
      <c r="X402" s="11"/>
      <c r="Y402" s="11"/>
      <c r="Z402" s="11"/>
    </row>
    <row r="403" ht="15.75" customHeight="1">
      <c r="A403" s="16"/>
      <c r="B403" s="16"/>
      <c r="C403" s="18"/>
      <c r="D403" s="18"/>
      <c r="E403" s="18"/>
      <c r="F403" s="20"/>
      <c r="G403" s="18"/>
      <c r="H403" s="18"/>
      <c r="I403" s="18"/>
      <c r="J403" s="18"/>
      <c r="K403" s="18"/>
      <c r="L403" s="21"/>
      <c r="M403" s="21"/>
      <c r="N403" s="11"/>
      <c r="O403" s="11"/>
      <c r="P403" s="11"/>
      <c r="Q403" s="11"/>
      <c r="R403" s="11"/>
      <c r="S403" s="11"/>
      <c r="T403" s="11"/>
      <c r="U403" s="11"/>
      <c r="V403" s="11"/>
      <c r="W403" s="11"/>
      <c r="X403" s="11"/>
      <c r="Y403" s="11"/>
      <c r="Z403" s="11"/>
    </row>
    <row r="404" ht="15.75" customHeight="1">
      <c r="A404" s="16"/>
      <c r="B404" s="16"/>
      <c r="C404" s="18"/>
      <c r="D404" s="18"/>
      <c r="E404" s="18"/>
      <c r="F404" s="20"/>
      <c r="G404" s="18"/>
      <c r="H404" s="18"/>
      <c r="I404" s="18"/>
      <c r="J404" s="18"/>
      <c r="K404" s="18"/>
      <c r="L404" s="21"/>
      <c r="M404" s="21"/>
      <c r="N404" s="11"/>
      <c r="O404" s="11"/>
      <c r="P404" s="11"/>
      <c r="Q404" s="11"/>
      <c r="R404" s="11"/>
      <c r="S404" s="11"/>
      <c r="T404" s="11"/>
      <c r="U404" s="11"/>
      <c r="V404" s="11"/>
      <c r="W404" s="11"/>
      <c r="X404" s="11"/>
      <c r="Y404" s="11"/>
      <c r="Z404" s="11"/>
    </row>
    <row r="405" ht="15.75" customHeight="1">
      <c r="A405" s="16"/>
      <c r="B405" s="16"/>
      <c r="C405" s="18"/>
      <c r="D405" s="18"/>
      <c r="E405" s="18"/>
      <c r="F405" s="20"/>
      <c r="G405" s="18"/>
      <c r="H405" s="18"/>
      <c r="I405" s="18"/>
      <c r="J405" s="18"/>
      <c r="K405" s="18"/>
      <c r="L405" s="21"/>
      <c r="M405" s="21"/>
      <c r="N405" s="11"/>
      <c r="O405" s="11"/>
      <c r="P405" s="11"/>
      <c r="Q405" s="11"/>
      <c r="R405" s="11"/>
      <c r="S405" s="11"/>
      <c r="T405" s="11"/>
      <c r="U405" s="11"/>
      <c r="V405" s="11"/>
      <c r="W405" s="11"/>
      <c r="X405" s="11"/>
      <c r="Y405" s="11"/>
      <c r="Z405" s="11"/>
    </row>
    <row r="406" ht="15.75" customHeight="1">
      <c r="A406" s="16"/>
      <c r="B406" s="16"/>
      <c r="C406" s="18"/>
      <c r="D406" s="18"/>
      <c r="E406" s="18"/>
      <c r="F406" s="20"/>
      <c r="G406" s="18"/>
      <c r="H406" s="18"/>
      <c r="I406" s="18"/>
      <c r="J406" s="18"/>
      <c r="K406" s="18"/>
      <c r="L406" s="21"/>
      <c r="M406" s="21"/>
      <c r="N406" s="11"/>
      <c r="O406" s="11"/>
      <c r="P406" s="11"/>
      <c r="Q406" s="11"/>
      <c r="R406" s="11"/>
      <c r="S406" s="11"/>
      <c r="T406" s="11"/>
      <c r="U406" s="11"/>
      <c r="V406" s="11"/>
      <c r="W406" s="11"/>
      <c r="X406" s="11"/>
      <c r="Y406" s="11"/>
      <c r="Z406" s="11"/>
    </row>
    <row r="407" ht="15.75" customHeight="1">
      <c r="A407" s="16"/>
      <c r="B407" s="16"/>
      <c r="C407" s="18"/>
      <c r="D407" s="18"/>
      <c r="E407" s="18"/>
      <c r="F407" s="20"/>
      <c r="G407" s="18"/>
      <c r="H407" s="18"/>
      <c r="I407" s="18"/>
      <c r="J407" s="18"/>
      <c r="K407" s="18"/>
      <c r="L407" s="21"/>
      <c r="M407" s="21"/>
      <c r="N407" s="11"/>
      <c r="O407" s="11"/>
      <c r="P407" s="11"/>
      <c r="Q407" s="11"/>
      <c r="R407" s="11"/>
      <c r="S407" s="11"/>
      <c r="T407" s="11"/>
      <c r="U407" s="11"/>
      <c r="V407" s="11"/>
      <c r="W407" s="11"/>
      <c r="X407" s="11"/>
      <c r="Y407" s="11"/>
      <c r="Z407" s="11"/>
    </row>
    <row r="408" ht="15.75" customHeight="1">
      <c r="A408" s="16"/>
      <c r="B408" s="16"/>
      <c r="C408" s="18"/>
      <c r="D408" s="18"/>
      <c r="E408" s="18"/>
      <c r="F408" s="20"/>
      <c r="G408" s="18"/>
      <c r="H408" s="18"/>
      <c r="I408" s="18"/>
      <c r="J408" s="18"/>
      <c r="K408" s="18"/>
      <c r="L408" s="21"/>
      <c r="M408" s="21"/>
      <c r="N408" s="11"/>
      <c r="O408" s="11"/>
      <c r="P408" s="11"/>
      <c r="Q408" s="11"/>
      <c r="R408" s="11"/>
      <c r="S408" s="11"/>
      <c r="T408" s="11"/>
      <c r="U408" s="11"/>
      <c r="V408" s="11"/>
      <c r="W408" s="11"/>
      <c r="X408" s="11"/>
      <c r="Y408" s="11"/>
      <c r="Z408" s="11"/>
    </row>
    <row r="409" ht="15.75" customHeight="1">
      <c r="A409" s="16"/>
      <c r="B409" s="16"/>
      <c r="C409" s="18"/>
      <c r="D409" s="18"/>
      <c r="E409" s="18"/>
      <c r="F409" s="20"/>
      <c r="G409" s="18"/>
      <c r="H409" s="18"/>
      <c r="I409" s="18"/>
      <c r="J409" s="18"/>
      <c r="K409" s="18"/>
      <c r="L409" s="21"/>
      <c r="M409" s="21"/>
      <c r="N409" s="11"/>
      <c r="O409" s="11"/>
      <c r="P409" s="11"/>
      <c r="Q409" s="11"/>
      <c r="R409" s="11"/>
      <c r="S409" s="11"/>
      <c r="T409" s="11"/>
      <c r="U409" s="11"/>
      <c r="V409" s="11"/>
      <c r="W409" s="11"/>
      <c r="X409" s="11"/>
      <c r="Y409" s="11"/>
      <c r="Z409" s="11"/>
    </row>
    <row r="410" ht="15.75" customHeight="1">
      <c r="A410" s="16"/>
      <c r="B410" s="16"/>
      <c r="C410" s="18"/>
      <c r="D410" s="18"/>
      <c r="E410" s="18"/>
      <c r="F410" s="20"/>
      <c r="G410" s="18"/>
      <c r="H410" s="18"/>
      <c r="I410" s="18"/>
      <c r="J410" s="18"/>
      <c r="K410" s="18"/>
      <c r="L410" s="21"/>
      <c r="M410" s="21"/>
      <c r="N410" s="11"/>
      <c r="O410" s="11"/>
      <c r="P410" s="11"/>
      <c r="Q410" s="11"/>
      <c r="R410" s="11"/>
      <c r="S410" s="11"/>
      <c r="T410" s="11"/>
      <c r="U410" s="11"/>
      <c r="V410" s="11"/>
      <c r="W410" s="11"/>
      <c r="X410" s="11"/>
      <c r="Y410" s="11"/>
      <c r="Z410" s="11"/>
    </row>
    <row r="411" ht="15.75" customHeight="1">
      <c r="A411" s="16"/>
      <c r="B411" s="16"/>
      <c r="C411" s="18"/>
      <c r="D411" s="18"/>
      <c r="E411" s="18"/>
      <c r="F411" s="20"/>
      <c r="G411" s="18"/>
      <c r="H411" s="18"/>
      <c r="I411" s="18"/>
      <c r="J411" s="18"/>
      <c r="K411" s="18"/>
      <c r="L411" s="21"/>
      <c r="M411" s="21"/>
      <c r="N411" s="11"/>
      <c r="O411" s="11"/>
      <c r="P411" s="11"/>
      <c r="Q411" s="11"/>
      <c r="R411" s="11"/>
      <c r="S411" s="11"/>
      <c r="T411" s="11"/>
      <c r="U411" s="11"/>
      <c r="V411" s="11"/>
      <c r="W411" s="11"/>
      <c r="X411" s="11"/>
      <c r="Y411" s="11"/>
      <c r="Z411" s="11"/>
    </row>
    <row r="412" ht="15.75" customHeight="1">
      <c r="A412" s="16"/>
      <c r="B412" s="16"/>
      <c r="C412" s="18"/>
      <c r="D412" s="18"/>
      <c r="E412" s="18"/>
      <c r="F412" s="20"/>
      <c r="G412" s="18"/>
      <c r="H412" s="18"/>
      <c r="I412" s="18"/>
      <c r="J412" s="18"/>
      <c r="K412" s="18"/>
      <c r="L412" s="21"/>
      <c r="M412" s="21"/>
      <c r="N412" s="11"/>
      <c r="O412" s="11"/>
      <c r="P412" s="11"/>
      <c r="Q412" s="11"/>
      <c r="R412" s="11"/>
      <c r="S412" s="11"/>
      <c r="T412" s="11"/>
      <c r="U412" s="11"/>
      <c r="V412" s="11"/>
      <c r="W412" s="11"/>
      <c r="X412" s="11"/>
      <c r="Y412" s="11"/>
      <c r="Z412" s="11"/>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A$4:$R$212"/>
  <mergeCells count="2">
    <mergeCell ref="B1:M1"/>
    <mergeCell ref="B2:M2"/>
  </mergeCells>
  <conditionalFormatting sqref="L5:L11 L13:L19 L21:L190 L192:L1000 M5:M1000">
    <cfRule type="cellIs" dxfId="0" priority="1" operator="equal">
      <formula>"Adriana"</formula>
    </cfRule>
  </conditionalFormatting>
  <conditionalFormatting sqref="L5:L11 L13:L19 L21:L190 L192:L1000 M5:M1000">
    <cfRule type="cellIs" dxfId="1" priority="2" operator="equal">
      <formula>"Marcelo"</formula>
    </cfRule>
  </conditionalFormatting>
  <conditionalFormatting sqref="L5:L11 L13:L19 L21:L190 L192:L1000 M5:M1000">
    <cfRule type="cellIs" dxfId="2" priority="3" operator="equal">
      <formula>"Maristela"</formula>
    </cfRule>
  </conditionalFormatting>
  <conditionalFormatting sqref="L5:L11 L13:L19 L21:L190 L192:L1000 M5:M1000">
    <cfRule type="cellIs" dxfId="3" priority="4" operator="equal">
      <formula>"Lanna"</formula>
    </cfRule>
  </conditionalFormatting>
  <dataValidations>
    <dataValidation type="list" allowBlank="1" sqref="M5:M7 M11:M20 M28:M76 M78 M81 M83:M99 M103:M147 M149:M970">
      <formula1>"Adriana,Marcelo,Lanna,Maristela"</formula1>
    </dataValidation>
    <dataValidation type="list" allowBlank="1" showErrorMessage="1" sqref="M8:M10 M21:M27 M77 M79:M80 M82 M100:M102 M148 O5:O212">
      <formula1>"Adriana,Marcelo,Lanna,Maristela"</formula1>
    </dataValidation>
    <dataValidation type="list" allowBlank="1" sqref="L5:L970">
      <formula1>"9–10 - A+ – Essencial - Incluir,7–8 - A – Alta aderência - Incluir,5–6 - B – Aderência moderada - Incluir para leitura completa,3–4 - C – Contribuição indireta - Avaliação do pesquisador,0–2 - D – Baixa aderência - Excluir"</formula1>
    </dataValidation>
    <dataValidation type="list" allowBlank="1" sqref="P5:Q32 P33 P34:Q47 P48 P49:Q53 P54 P55:Q75 P76:P79 P80:Q80 P81:P82 P83:Q123 P124 P125:Q127 P128 P129:Q131 P132:P133 P134:Q141 P142 P143:Q150 P151 P152:Q152 P153 P154:Q166 P167 P168:Q178 P179 P180:Q180 P181 P182:Q182 P183 P184:Q185 P186:P188 P189:Q189 P190 P191:Q211 N5:N212 P212 N213:Q214 N215:P215 N217:Q217 N219:Q219">
      <formula1>"7–8 - A – Alta aderência - Incluir,9–10 - A+ – Essencial - Incluir,3–4 - C – Contribuição indireta - Avaliação do pesquisador,5–6 - B – Aderência moderada - Incluir para leitura completa,0–2 - D – Baixa aderência - Excluir"</formula1>
    </dataValidation>
    <dataValidation type="list" allowBlank="1" showErrorMessage="1" sqref="Q33 Q48 Q54 Q76:Q79 Q81:Q82 Q124 Q128 Q132:Q133 Q142 Q151 Q153 Q167 Q179 Q181 Q183 Q186:Q188 Q190 Q212 Q215:Q216 Q218 Q220:Q243">
      <formula1>"0–2 - D – Baixa aderência - Excluir,3–4 - C – Contribuição indireta - Avaliação do pesquisador,5–6 - B – Aderência moderada - Incluir para leitura completa,7–8 - A – Alta aderência - Incluir,9–10 - A+ – Essencial - Incluir"</formula1>
    </dataValidation>
  </dataValidations>
  <hyperlinks>
    <hyperlink r:id="rId1" ref="E20"/>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5"/>
    <col customWidth="1" min="2" max="2" width="95.0"/>
    <col customWidth="1" min="3" max="3" width="25.5"/>
    <col customWidth="1" min="4" max="4" width="28.25"/>
    <col customWidth="1" min="5" max="5" width="37.88"/>
    <col customWidth="1" min="6" max="7" width="25.5"/>
    <col customWidth="1" min="8" max="8" width="31.63"/>
    <col customWidth="1" min="9" max="9" width="31.5"/>
    <col customWidth="1" min="10" max="10" width="35.88"/>
    <col customWidth="1" min="11" max="11" width="47.63"/>
    <col customWidth="1" min="12" max="12" width="28.0"/>
    <col customWidth="1" min="13" max="13" width="13.38"/>
    <col customWidth="1" min="14" max="14" width="24.25"/>
    <col customWidth="1" min="15" max="15" width="17.88"/>
    <col customWidth="1" min="16" max="16" width="22.5"/>
    <col customWidth="1" min="17" max="25" width="7.63"/>
  </cols>
  <sheetData>
    <row r="1" ht="30.0" customHeight="1">
      <c r="A1" s="6"/>
      <c r="B1" s="10" t="s">
        <v>0</v>
      </c>
      <c r="N1" s="12"/>
      <c r="O1" s="12"/>
      <c r="P1" s="12"/>
      <c r="Q1" s="9"/>
      <c r="R1" s="9"/>
      <c r="S1" s="9"/>
      <c r="T1" s="9"/>
      <c r="U1" s="9"/>
      <c r="V1" s="9"/>
      <c r="W1" s="9"/>
      <c r="X1" s="9"/>
      <c r="Y1" s="9"/>
    </row>
    <row r="2" ht="18.0" customHeight="1">
      <c r="A2" s="15"/>
      <c r="B2" s="15" t="s">
        <v>1</v>
      </c>
      <c r="N2" s="12"/>
      <c r="O2" s="12"/>
      <c r="P2" s="12"/>
      <c r="Q2" s="9"/>
      <c r="R2" s="9"/>
      <c r="S2" s="9"/>
      <c r="T2" s="9"/>
      <c r="U2" s="9"/>
      <c r="V2" s="9"/>
      <c r="W2" s="9"/>
      <c r="X2" s="9"/>
      <c r="Y2" s="9"/>
    </row>
    <row r="3" ht="12.0" customHeight="1">
      <c r="A3" s="17"/>
      <c r="B3" s="17"/>
      <c r="C3" s="19"/>
      <c r="D3" s="19"/>
      <c r="E3" s="19"/>
      <c r="F3" s="19"/>
      <c r="G3" s="19"/>
      <c r="H3" s="19"/>
      <c r="I3" s="19"/>
      <c r="J3" s="19"/>
      <c r="K3" s="19"/>
      <c r="L3" s="22"/>
      <c r="M3" s="22"/>
      <c r="N3" s="9"/>
      <c r="O3" s="9"/>
      <c r="P3" s="9"/>
      <c r="Q3" s="9"/>
      <c r="R3" s="9"/>
      <c r="S3" s="9"/>
      <c r="T3" s="9"/>
      <c r="U3" s="9"/>
      <c r="V3" s="9"/>
      <c r="W3" s="9"/>
      <c r="X3" s="9"/>
      <c r="Y3" s="9"/>
    </row>
    <row r="4" ht="27.75" customHeight="1">
      <c r="A4" s="23" t="s">
        <v>2</v>
      </c>
      <c r="B4" s="23" t="s">
        <v>3</v>
      </c>
      <c r="C4" s="23" t="s">
        <v>4</v>
      </c>
      <c r="D4" s="23" t="s">
        <v>5</v>
      </c>
      <c r="E4" s="23" t="s">
        <v>6</v>
      </c>
      <c r="F4" s="23" t="s">
        <v>7</v>
      </c>
      <c r="G4" s="23" t="s">
        <v>8</v>
      </c>
      <c r="H4" s="23" t="s">
        <v>9</v>
      </c>
      <c r="I4" s="23" t="s">
        <v>10</v>
      </c>
      <c r="J4" s="23" t="s">
        <v>11</v>
      </c>
      <c r="K4" s="23" t="s">
        <v>12</v>
      </c>
      <c r="L4" s="23" t="s">
        <v>13</v>
      </c>
      <c r="M4" s="23" t="s">
        <v>14</v>
      </c>
      <c r="N4" s="23" t="s">
        <v>15</v>
      </c>
      <c r="O4" s="23" t="s">
        <v>17</v>
      </c>
      <c r="P4" s="23" t="s">
        <v>18</v>
      </c>
      <c r="Q4" s="9"/>
      <c r="R4" s="9"/>
      <c r="S4" s="9"/>
      <c r="T4" s="9"/>
      <c r="U4" s="9"/>
      <c r="V4" s="9"/>
      <c r="W4" s="9"/>
      <c r="X4" s="9"/>
      <c r="Y4" s="9"/>
    </row>
    <row r="5" ht="111.0" hidden="1" customHeight="1">
      <c r="A5" s="25">
        <f t="array" ref="A5:A241">SEQUENCE(COUNTA(B5:B968),1)</f>
        <v>1</v>
      </c>
      <c r="B5" s="25" t="s">
        <v>20</v>
      </c>
      <c r="C5" s="25" t="s">
        <v>21</v>
      </c>
      <c r="D5" s="26" t="s">
        <v>22</v>
      </c>
      <c r="E5" s="27" t="s">
        <v>23</v>
      </c>
      <c r="F5" s="26" t="s">
        <v>24</v>
      </c>
      <c r="G5" s="27" t="s">
        <v>25</v>
      </c>
      <c r="H5" s="27" t="s">
        <v>26</v>
      </c>
      <c r="I5" s="25" t="s">
        <v>27</v>
      </c>
      <c r="J5" s="27" t="s">
        <v>28</v>
      </c>
      <c r="K5" s="26" t="s">
        <v>29</v>
      </c>
      <c r="L5" s="25" t="s">
        <v>30</v>
      </c>
      <c r="M5" s="25" t="s">
        <v>31</v>
      </c>
      <c r="N5" s="27" t="s">
        <v>30</v>
      </c>
      <c r="O5" s="27" t="s">
        <v>33</v>
      </c>
      <c r="P5" s="27" t="s">
        <v>30</v>
      </c>
      <c r="Q5" s="9"/>
      <c r="R5" s="9"/>
      <c r="S5" s="9"/>
      <c r="T5" s="9"/>
      <c r="U5" s="9"/>
      <c r="V5" s="9"/>
      <c r="W5" s="9"/>
      <c r="X5" s="9"/>
      <c r="Y5" s="9"/>
    </row>
    <row r="6" ht="137.25" hidden="1" customHeight="1">
      <c r="A6" s="28">
        <v>2.0</v>
      </c>
      <c r="B6" s="28" t="s">
        <v>99</v>
      </c>
      <c r="C6" s="28" t="s">
        <v>100</v>
      </c>
      <c r="D6" s="30" t="s">
        <v>48</v>
      </c>
      <c r="E6" s="29" t="s">
        <v>110</v>
      </c>
      <c r="F6" s="29" t="s">
        <v>111</v>
      </c>
      <c r="G6" s="29" t="s">
        <v>112</v>
      </c>
      <c r="H6" s="29" t="s">
        <v>113</v>
      </c>
      <c r="I6" s="30" t="s">
        <v>114</v>
      </c>
      <c r="J6" s="29" t="s">
        <v>115</v>
      </c>
      <c r="K6" s="29" t="s">
        <v>116</v>
      </c>
      <c r="L6" s="28" t="s">
        <v>98</v>
      </c>
      <c r="M6" s="28" t="s">
        <v>31</v>
      </c>
      <c r="N6" s="29" t="s">
        <v>30</v>
      </c>
      <c r="O6" s="29" t="s">
        <v>45</v>
      </c>
      <c r="P6" s="29"/>
      <c r="Q6" s="9"/>
      <c r="R6" s="9"/>
      <c r="S6" s="9"/>
      <c r="T6" s="9"/>
      <c r="U6" s="9"/>
      <c r="V6" s="9"/>
      <c r="W6" s="9"/>
      <c r="X6" s="9"/>
      <c r="Y6" s="9"/>
    </row>
    <row r="7" ht="45.0" customHeight="1">
      <c r="A7" s="25">
        <v>3.0</v>
      </c>
      <c r="B7" s="25" t="s">
        <v>46</v>
      </c>
      <c r="C7" s="26" t="s">
        <v>47</v>
      </c>
      <c r="D7" s="26" t="s">
        <v>48</v>
      </c>
      <c r="E7" s="27" t="s">
        <v>49</v>
      </c>
      <c r="F7" s="27" t="s">
        <v>50</v>
      </c>
      <c r="G7" s="27" t="s">
        <v>51</v>
      </c>
      <c r="H7" s="27" t="s">
        <v>52</v>
      </c>
      <c r="I7" s="26" t="s">
        <v>53</v>
      </c>
      <c r="J7" s="27" t="s">
        <v>54</v>
      </c>
      <c r="K7" s="27" t="s">
        <v>55</v>
      </c>
      <c r="L7" s="25" t="s">
        <v>56</v>
      </c>
      <c r="M7" s="25" t="s">
        <v>31</v>
      </c>
      <c r="N7" s="27" t="s">
        <v>44</v>
      </c>
      <c r="O7" s="27" t="s">
        <v>32</v>
      </c>
      <c r="P7" s="27"/>
      <c r="Q7" s="34"/>
      <c r="R7" s="34"/>
      <c r="S7" s="34"/>
      <c r="T7" s="34"/>
      <c r="U7" s="34"/>
      <c r="V7" s="34"/>
      <c r="W7" s="34"/>
      <c r="X7" s="34"/>
      <c r="Y7" s="34"/>
    </row>
    <row r="8" ht="45.0" hidden="1" customHeight="1">
      <c r="A8" s="28">
        <v>4.0</v>
      </c>
      <c r="B8" s="28" t="s">
        <v>57</v>
      </c>
      <c r="C8" s="30" t="s">
        <v>58</v>
      </c>
      <c r="D8" s="30" t="s">
        <v>59</v>
      </c>
      <c r="E8" s="30" t="s">
        <v>153</v>
      </c>
      <c r="F8" s="30" t="s">
        <v>155</v>
      </c>
      <c r="G8" s="30" t="s">
        <v>62</v>
      </c>
      <c r="H8" s="30" t="s">
        <v>63</v>
      </c>
      <c r="I8" s="30" t="s">
        <v>64</v>
      </c>
      <c r="J8" s="30" t="s">
        <v>65</v>
      </c>
      <c r="K8" s="30" t="s">
        <v>66</v>
      </c>
      <c r="L8" s="28" t="s">
        <v>44</v>
      </c>
      <c r="M8" s="28" t="s">
        <v>45</v>
      </c>
      <c r="N8" s="29" t="s">
        <v>67</v>
      </c>
      <c r="O8" s="29" t="s">
        <v>33</v>
      </c>
      <c r="P8" s="29" t="s">
        <v>44</v>
      </c>
      <c r="Q8" s="9"/>
      <c r="R8" s="9"/>
      <c r="S8" s="9"/>
      <c r="T8" s="9"/>
      <c r="U8" s="9"/>
      <c r="V8" s="9"/>
      <c r="W8" s="9"/>
      <c r="X8" s="9"/>
      <c r="Y8" s="9"/>
    </row>
    <row r="9" ht="39.75" hidden="1" customHeight="1">
      <c r="A9" s="25">
        <v>5.0</v>
      </c>
      <c r="B9" s="25" t="s">
        <v>68</v>
      </c>
      <c r="C9" s="26" t="s">
        <v>69</v>
      </c>
      <c r="D9" s="26" t="s">
        <v>70</v>
      </c>
      <c r="E9" s="26" t="s">
        <v>71</v>
      </c>
      <c r="F9" s="26" t="s">
        <v>72</v>
      </c>
      <c r="G9" s="26" t="s">
        <v>73</v>
      </c>
      <c r="H9" s="26" t="s">
        <v>74</v>
      </c>
      <c r="I9" s="26" t="s">
        <v>75</v>
      </c>
      <c r="J9" s="26" t="s">
        <v>76</v>
      </c>
      <c r="K9" s="26" t="s">
        <v>77</v>
      </c>
      <c r="L9" s="25" t="s">
        <v>44</v>
      </c>
      <c r="M9" s="25" t="s">
        <v>45</v>
      </c>
      <c r="N9" s="27" t="s">
        <v>44</v>
      </c>
      <c r="O9" s="27" t="s">
        <v>31</v>
      </c>
      <c r="P9" s="27" t="s">
        <v>30</v>
      </c>
      <c r="Q9" s="9"/>
      <c r="R9" s="9"/>
      <c r="S9" s="9"/>
      <c r="T9" s="9"/>
      <c r="U9" s="9"/>
      <c r="V9" s="9"/>
      <c r="W9" s="9"/>
      <c r="X9" s="9"/>
      <c r="Y9" s="9"/>
    </row>
    <row r="10" ht="39.75" customHeight="1">
      <c r="A10" s="28">
        <v>6.0</v>
      </c>
      <c r="B10" s="28" t="s">
        <v>78</v>
      </c>
      <c r="C10" s="30" t="s">
        <v>79</v>
      </c>
      <c r="D10" s="30" t="s">
        <v>80</v>
      </c>
      <c r="E10" s="30" t="s">
        <v>188</v>
      </c>
      <c r="F10" s="30" t="s">
        <v>82</v>
      </c>
      <c r="G10" s="29" t="s">
        <v>83</v>
      </c>
      <c r="H10" s="29" t="s">
        <v>84</v>
      </c>
      <c r="I10" s="30" t="s">
        <v>85</v>
      </c>
      <c r="J10" s="30" t="s">
        <v>86</v>
      </c>
      <c r="K10" s="30" t="s">
        <v>87</v>
      </c>
      <c r="L10" s="28" t="s">
        <v>30</v>
      </c>
      <c r="M10" s="28" t="s">
        <v>45</v>
      </c>
      <c r="N10" s="29" t="s">
        <v>30</v>
      </c>
      <c r="O10" s="29" t="s">
        <v>32</v>
      </c>
      <c r="P10" s="29"/>
      <c r="Q10" s="9"/>
      <c r="R10" s="9"/>
      <c r="S10" s="9"/>
      <c r="T10" s="9"/>
      <c r="U10" s="9"/>
      <c r="V10" s="9"/>
      <c r="W10" s="9"/>
      <c r="X10" s="9"/>
      <c r="Y10" s="9"/>
    </row>
    <row r="11" ht="117.0" hidden="1" customHeight="1">
      <c r="A11" s="25">
        <v>7.0</v>
      </c>
      <c r="B11" s="25" t="s">
        <v>189</v>
      </c>
      <c r="C11" s="26" t="s">
        <v>190</v>
      </c>
      <c r="D11" s="26" t="s">
        <v>191</v>
      </c>
      <c r="E11" s="26" t="s">
        <v>192</v>
      </c>
      <c r="F11" s="26" t="s">
        <v>197</v>
      </c>
      <c r="G11" s="25" t="s">
        <v>198</v>
      </c>
      <c r="H11" s="26" t="s">
        <v>200</v>
      </c>
      <c r="I11" s="26" t="s">
        <v>201</v>
      </c>
      <c r="J11" s="27" t="s">
        <v>203</v>
      </c>
      <c r="K11" s="26" t="s">
        <v>204</v>
      </c>
      <c r="L11" s="25" t="s">
        <v>30</v>
      </c>
      <c r="M11" s="25" t="s">
        <v>31</v>
      </c>
      <c r="N11" s="27" t="s">
        <v>30</v>
      </c>
      <c r="O11" s="27" t="s">
        <v>33</v>
      </c>
      <c r="P11" s="27" t="s">
        <v>30</v>
      </c>
      <c r="Q11" s="34"/>
      <c r="R11" s="34"/>
      <c r="S11" s="34"/>
      <c r="T11" s="34"/>
      <c r="U11" s="34"/>
      <c r="V11" s="34"/>
      <c r="W11" s="34"/>
      <c r="X11" s="34"/>
      <c r="Y11" s="34"/>
    </row>
    <row r="12" ht="143.25" hidden="1" customHeight="1">
      <c r="A12" s="28">
        <v>8.0</v>
      </c>
      <c r="B12" s="28" t="s">
        <v>101</v>
      </c>
      <c r="C12" s="30" t="s">
        <v>102</v>
      </c>
      <c r="D12" s="30" t="s">
        <v>103</v>
      </c>
      <c r="E12" s="30" t="s">
        <v>104</v>
      </c>
      <c r="F12" s="30" t="s">
        <v>105</v>
      </c>
      <c r="G12" s="30" t="s">
        <v>106</v>
      </c>
      <c r="H12" s="30" t="s">
        <v>107</v>
      </c>
      <c r="I12" s="29" t="s">
        <v>108</v>
      </c>
      <c r="J12" s="29" t="s">
        <v>108</v>
      </c>
      <c r="K12" s="29" t="s">
        <v>109</v>
      </c>
      <c r="L12" s="30" t="s">
        <v>44</v>
      </c>
      <c r="M12" s="28" t="s">
        <v>31</v>
      </c>
      <c r="N12" s="30" t="s">
        <v>44</v>
      </c>
      <c r="O12" s="30" t="s">
        <v>45</v>
      </c>
      <c r="P12" s="30"/>
      <c r="Q12" s="37"/>
      <c r="R12" s="33"/>
      <c r="S12" s="33"/>
      <c r="T12" s="33"/>
      <c r="U12" s="33"/>
      <c r="V12" s="33"/>
      <c r="W12" s="33"/>
      <c r="X12" s="33"/>
      <c r="Y12" s="33"/>
    </row>
    <row r="13" ht="143.25" customHeight="1">
      <c r="A13" s="25">
        <v>9.0</v>
      </c>
      <c r="B13" s="25" t="s">
        <v>117</v>
      </c>
      <c r="C13" s="26" t="s">
        <v>118</v>
      </c>
      <c r="D13" s="26" t="s">
        <v>103</v>
      </c>
      <c r="E13" s="27" t="s">
        <v>119</v>
      </c>
      <c r="F13" s="27" t="s">
        <v>120</v>
      </c>
      <c r="G13" s="26" t="s">
        <v>121</v>
      </c>
      <c r="H13" s="27" t="s">
        <v>122</v>
      </c>
      <c r="I13" s="26" t="s">
        <v>123</v>
      </c>
      <c r="J13" s="26" t="s">
        <v>124</v>
      </c>
      <c r="K13" s="26" t="s">
        <v>125</v>
      </c>
      <c r="L13" s="25" t="s">
        <v>44</v>
      </c>
      <c r="M13" s="25" t="s">
        <v>31</v>
      </c>
      <c r="N13" s="27" t="s">
        <v>67</v>
      </c>
      <c r="O13" s="27" t="s">
        <v>32</v>
      </c>
      <c r="P13" s="27"/>
      <c r="Q13" s="9"/>
      <c r="R13" s="9"/>
      <c r="S13" s="9"/>
      <c r="T13" s="9"/>
      <c r="U13" s="9"/>
      <c r="V13" s="9"/>
      <c r="W13" s="9"/>
      <c r="X13" s="9"/>
      <c r="Y13" s="9"/>
    </row>
    <row r="14" ht="143.25" hidden="1" customHeight="1">
      <c r="A14" s="28">
        <v>10.0</v>
      </c>
      <c r="B14" s="28" t="s">
        <v>126</v>
      </c>
      <c r="C14" s="30" t="s">
        <v>127</v>
      </c>
      <c r="D14" s="30" t="s">
        <v>128</v>
      </c>
      <c r="E14" s="29" t="s">
        <v>129</v>
      </c>
      <c r="F14" s="29" t="s">
        <v>130</v>
      </c>
      <c r="G14" s="29" t="s">
        <v>131</v>
      </c>
      <c r="H14" s="29" t="s">
        <v>132</v>
      </c>
      <c r="I14" s="29" t="s">
        <v>133</v>
      </c>
      <c r="J14" s="29" t="s">
        <v>134</v>
      </c>
      <c r="K14" s="29" t="s">
        <v>135</v>
      </c>
      <c r="L14" s="28" t="s">
        <v>56</v>
      </c>
      <c r="M14" s="28" t="s">
        <v>31</v>
      </c>
      <c r="N14" s="29" t="s">
        <v>67</v>
      </c>
      <c r="O14" s="29" t="s">
        <v>33</v>
      </c>
      <c r="P14" s="29" t="s">
        <v>67</v>
      </c>
      <c r="Q14" s="9"/>
      <c r="R14" s="9"/>
      <c r="S14" s="9"/>
      <c r="T14" s="9"/>
      <c r="U14" s="9"/>
      <c r="V14" s="9"/>
      <c r="W14" s="9"/>
      <c r="X14" s="9"/>
      <c r="Y14" s="9"/>
    </row>
    <row r="15" ht="143.25" hidden="1" customHeight="1">
      <c r="A15" s="25">
        <v>11.0</v>
      </c>
      <c r="B15" s="25" t="s">
        <v>136</v>
      </c>
      <c r="C15" s="26" t="s">
        <v>137</v>
      </c>
      <c r="D15" s="26" t="s">
        <v>128</v>
      </c>
      <c r="E15" s="27" t="s">
        <v>138</v>
      </c>
      <c r="F15" s="26" t="s">
        <v>139</v>
      </c>
      <c r="G15" s="26" t="s">
        <v>140</v>
      </c>
      <c r="H15" s="27" t="s">
        <v>141</v>
      </c>
      <c r="I15" s="27" t="s">
        <v>142</v>
      </c>
      <c r="J15" s="27" t="s">
        <v>143</v>
      </c>
      <c r="K15" s="27" t="s">
        <v>144</v>
      </c>
      <c r="L15" s="25" t="s">
        <v>44</v>
      </c>
      <c r="M15" s="25" t="s">
        <v>31</v>
      </c>
      <c r="N15" s="27" t="s">
        <v>44</v>
      </c>
      <c r="O15" s="27" t="s">
        <v>45</v>
      </c>
      <c r="P15" s="27"/>
      <c r="Q15" s="9"/>
      <c r="R15" s="9"/>
      <c r="S15" s="9"/>
      <c r="T15" s="9"/>
      <c r="U15" s="9"/>
      <c r="V15" s="9"/>
      <c r="W15" s="9"/>
      <c r="X15" s="9"/>
      <c r="Y15" s="9"/>
    </row>
    <row r="16" ht="143.25" customHeight="1">
      <c r="A16" s="28">
        <v>12.0</v>
      </c>
      <c r="B16" s="28" t="s">
        <v>279</v>
      </c>
      <c r="C16" s="30" t="s">
        <v>282</v>
      </c>
      <c r="D16" s="30" t="s">
        <v>191</v>
      </c>
      <c r="E16" s="30" t="s">
        <v>285</v>
      </c>
      <c r="F16" s="30" t="s">
        <v>288</v>
      </c>
      <c r="G16" s="30" t="s">
        <v>291</v>
      </c>
      <c r="H16" s="30" t="s">
        <v>292</v>
      </c>
      <c r="I16" s="30" t="s">
        <v>293</v>
      </c>
      <c r="J16" s="30" t="s">
        <v>294</v>
      </c>
      <c r="K16" s="30" t="s">
        <v>295</v>
      </c>
      <c r="L16" s="28" t="s">
        <v>44</v>
      </c>
      <c r="M16" s="28" t="s">
        <v>31</v>
      </c>
      <c r="N16" s="29" t="s">
        <v>44</v>
      </c>
      <c r="O16" s="29" t="s">
        <v>32</v>
      </c>
      <c r="P16" s="29"/>
      <c r="Q16" s="9"/>
      <c r="R16" s="9"/>
      <c r="S16" s="9"/>
      <c r="T16" s="9"/>
      <c r="U16" s="9"/>
      <c r="V16" s="9"/>
      <c r="W16" s="9"/>
      <c r="X16" s="9"/>
      <c r="Y16" s="9"/>
    </row>
    <row r="17" ht="143.25" hidden="1" customHeight="1">
      <c r="A17" s="25">
        <v>13.0</v>
      </c>
      <c r="B17" s="25" t="s">
        <v>305</v>
      </c>
      <c r="C17" s="26" t="s">
        <v>308</v>
      </c>
      <c r="D17" s="26" t="s">
        <v>128</v>
      </c>
      <c r="E17" s="27" t="s">
        <v>312</v>
      </c>
      <c r="F17" s="27" t="s">
        <v>315</v>
      </c>
      <c r="G17" s="27" t="s">
        <v>317</v>
      </c>
      <c r="H17" s="27" t="s">
        <v>318</v>
      </c>
      <c r="I17" s="27" t="s">
        <v>319</v>
      </c>
      <c r="J17" s="26" t="s">
        <v>320</v>
      </c>
      <c r="K17" s="26" t="s">
        <v>295</v>
      </c>
      <c r="L17" s="25" t="s">
        <v>67</v>
      </c>
      <c r="M17" s="25" t="s">
        <v>31</v>
      </c>
      <c r="N17" s="27" t="s">
        <v>67</v>
      </c>
      <c r="O17" s="27" t="s">
        <v>33</v>
      </c>
      <c r="P17" s="27" t="s">
        <v>67</v>
      </c>
      <c r="Q17" s="9"/>
      <c r="R17" s="9"/>
      <c r="S17" s="9"/>
      <c r="T17" s="9"/>
      <c r="U17" s="9"/>
      <c r="V17" s="9"/>
      <c r="W17" s="9"/>
      <c r="X17" s="9"/>
      <c r="Y17" s="9"/>
    </row>
    <row r="18" ht="143.25" hidden="1" customHeight="1">
      <c r="A18" s="28">
        <v>14.0</v>
      </c>
      <c r="B18" s="28" t="s">
        <v>165</v>
      </c>
      <c r="C18" s="30" t="s">
        <v>166</v>
      </c>
      <c r="D18" s="30" t="s">
        <v>128</v>
      </c>
      <c r="E18" s="29" t="s">
        <v>167</v>
      </c>
      <c r="F18" s="29" t="s">
        <v>168</v>
      </c>
      <c r="G18" s="29" t="s">
        <v>169</v>
      </c>
      <c r="H18" s="29" t="s">
        <v>170</v>
      </c>
      <c r="I18" s="29" t="s">
        <v>171</v>
      </c>
      <c r="J18" s="29" t="s">
        <v>172</v>
      </c>
      <c r="K18" s="29" t="s">
        <v>173</v>
      </c>
      <c r="L18" s="28" t="s">
        <v>44</v>
      </c>
      <c r="M18" s="28" t="s">
        <v>31</v>
      </c>
      <c r="N18" s="29" t="s">
        <v>44</v>
      </c>
      <c r="O18" s="29" t="s">
        <v>45</v>
      </c>
      <c r="P18" s="29"/>
      <c r="Q18" s="9"/>
      <c r="R18" s="9"/>
      <c r="S18" s="9"/>
      <c r="T18" s="9"/>
      <c r="U18" s="9"/>
      <c r="V18" s="9"/>
      <c r="W18" s="9"/>
      <c r="X18" s="9"/>
      <c r="Y18" s="9"/>
    </row>
    <row r="19" ht="214.5" customHeight="1">
      <c r="A19" s="25">
        <v>15.0</v>
      </c>
      <c r="B19" s="25" t="s">
        <v>174</v>
      </c>
      <c r="C19" s="26" t="s">
        <v>175</v>
      </c>
      <c r="D19" s="26" t="s">
        <v>176</v>
      </c>
      <c r="E19" s="27" t="s">
        <v>177</v>
      </c>
      <c r="F19" s="27" t="s">
        <v>178</v>
      </c>
      <c r="G19" s="26" t="s">
        <v>179</v>
      </c>
      <c r="H19" s="26" t="s">
        <v>180</v>
      </c>
      <c r="I19" s="26" t="s">
        <v>181</v>
      </c>
      <c r="J19" s="27" t="s">
        <v>182</v>
      </c>
      <c r="K19" s="27" t="s">
        <v>183</v>
      </c>
      <c r="L19" s="25" t="s">
        <v>44</v>
      </c>
      <c r="M19" s="25" t="s">
        <v>31</v>
      </c>
      <c r="N19" s="27" t="s">
        <v>44</v>
      </c>
      <c r="O19" s="27" t="s">
        <v>32</v>
      </c>
      <c r="P19" s="27"/>
      <c r="Q19" s="9"/>
      <c r="R19" s="9"/>
      <c r="S19" s="9"/>
      <c r="T19" s="9"/>
      <c r="U19" s="9"/>
      <c r="V19" s="9"/>
      <c r="W19" s="9"/>
      <c r="X19" s="9"/>
      <c r="Y19" s="9"/>
    </row>
    <row r="20" ht="15.75" hidden="1" customHeight="1">
      <c r="A20" s="28">
        <v>16.0</v>
      </c>
      <c r="B20" s="28" t="s">
        <v>184</v>
      </c>
      <c r="C20" s="29" t="s">
        <v>185</v>
      </c>
      <c r="D20" s="30" t="s">
        <v>186</v>
      </c>
      <c r="E20" s="35" t="s">
        <v>187</v>
      </c>
      <c r="F20" s="29" t="s">
        <v>193</v>
      </c>
      <c r="G20" s="29" t="s">
        <v>194</v>
      </c>
      <c r="H20" s="29" t="s">
        <v>195</v>
      </c>
      <c r="I20" s="29" t="s">
        <v>196</v>
      </c>
      <c r="J20" s="29" t="s">
        <v>199</v>
      </c>
      <c r="K20" s="29" t="s">
        <v>202</v>
      </c>
      <c r="L20" s="30" t="s">
        <v>56</v>
      </c>
      <c r="M20" s="28" t="s">
        <v>31</v>
      </c>
      <c r="N20" s="29" t="s">
        <v>56</v>
      </c>
      <c r="O20" s="29" t="s">
        <v>33</v>
      </c>
      <c r="P20" s="29" t="s">
        <v>56</v>
      </c>
      <c r="Q20" s="9"/>
      <c r="R20" s="9"/>
      <c r="S20" s="9"/>
      <c r="T20" s="9"/>
      <c r="U20" s="9"/>
      <c r="V20" s="9"/>
      <c r="W20" s="9"/>
      <c r="X20" s="9"/>
      <c r="Y20" s="9"/>
    </row>
    <row r="21" ht="201.0" hidden="1" customHeight="1">
      <c r="A21" s="25">
        <v>17.0</v>
      </c>
      <c r="B21" s="25" t="s">
        <v>387</v>
      </c>
      <c r="C21" s="26" t="s">
        <v>388</v>
      </c>
      <c r="D21" s="26" t="s">
        <v>176</v>
      </c>
      <c r="E21" s="27" t="s">
        <v>391</v>
      </c>
      <c r="F21" s="27" t="s">
        <v>394</v>
      </c>
      <c r="G21" s="27" t="s">
        <v>397</v>
      </c>
      <c r="H21" s="27" t="s">
        <v>399</v>
      </c>
      <c r="I21" s="27" t="s">
        <v>402</v>
      </c>
      <c r="J21" s="27" t="s">
        <v>403</v>
      </c>
      <c r="K21" s="27" t="s">
        <v>404</v>
      </c>
      <c r="L21" s="25" t="s">
        <v>56</v>
      </c>
      <c r="M21" s="25" t="s">
        <v>31</v>
      </c>
      <c r="N21" s="27" t="s">
        <v>67</v>
      </c>
      <c r="O21" s="27" t="s">
        <v>45</v>
      </c>
      <c r="P21" s="27"/>
      <c r="Q21" s="9"/>
      <c r="R21" s="9"/>
      <c r="S21" s="9"/>
      <c r="T21" s="9"/>
      <c r="U21" s="9"/>
      <c r="V21" s="9"/>
      <c r="W21" s="9"/>
      <c r="X21" s="9"/>
      <c r="Y21" s="9"/>
    </row>
    <row r="22" ht="247.5" hidden="1" customHeight="1">
      <c r="A22" s="28">
        <v>18.0</v>
      </c>
      <c r="B22" s="28" t="s">
        <v>215</v>
      </c>
      <c r="C22" s="29" t="s">
        <v>216</v>
      </c>
      <c r="D22" s="30" t="s">
        <v>217</v>
      </c>
      <c r="E22" s="29" t="s">
        <v>218</v>
      </c>
      <c r="F22" s="29" t="s">
        <v>219</v>
      </c>
      <c r="G22" s="29" t="s">
        <v>220</v>
      </c>
      <c r="H22" s="29" t="s">
        <v>221</v>
      </c>
      <c r="I22" s="29" t="s">
        <v>222</v>
      </c>
      <c r="J22" s="29" t="s">
        <v>223</v>
      </c>
      <c r="K22" s="29" t="s">
        <v>224</v>
      </c>
      <c r="L22" s="28" t="s">
        <v>30</v>
      </c>
      <c r="M22" s="28" t="s">
        <v>33</v>
      </c>
      <c r="N22" s="29" t="s">
        <v>30</v>
      </c>
      <c r="O22" s="29" t="s">
        <v>45</v>
      </c>
      <c r="P22" s="29"/>
      <c r="Q22" s="9"/>
      <c r="R22" s="9"/>
      <c r="S22" s="9"/>
      <c r="T22" s="9"/>
      <c r="U22" s="9"/>
      <c r="V22" s="9"/>
      <c r="W22" s="9"/>
      <c r="X22" s="9"/>
      <c r="Y22" s="9"/>
    </row>
    <row r="23" ht="15.75" customHeight="1">
      <c r="A23" s="25">
        <v>19.0</v>
      </c>
      <c r="B23" s="25" t="s">
        <v>225</v>
      </c>
      <c r="C23" s="27" t="s">
        <v>226</v>
      </c>
      <c r="D23" s="26" t="s">
        <v>217</v>
      </c>
      <c r="E23" s="27" t="s">
        <v>227</v>
      </c>
      <c r="F23" s="27" t="s">
        <v>228</v>
      </c>
      <c r="G23" s="27" t="s">
        <v>229</v>
      </c>
      <c r="H23" s="27" t="s">
        <v>230</v>
      </c>
      <c r="I23" s="27" t="s">
        <v>231</v>
      </c>
      <c r="J23" s="27" t="s">
        <v>232</v>
      </c>
      <c r="K23" s="27" t="s">
        <v>233</v>
      </c>
      <c r="L23" s="25" t="s">
        <v>44</v>
      </c>
      <c r="M23" s="25" t="s">
        <v>33</v>
      </c>
      <c r="N23" s="27" t="s">
        <v>44</v>
      </c>
      <c r="O23" s="27" t="s">
        <v>32</v>
      </c>
      <c r="P23" s="27"/>
      <c r="Q23" s="9"/>
      <c r="R23" s="9"/>
      <c r="S23" s="9"/>
      <c r="T23" s="9"/>
      <c r="U23" s="9"/>
      <c r="V23" s="9"/>
      <c r="W23" s="9"/>
      <c r="X23" s="9"/>
      <c r="Y23" s="9"/>
    </row>
    <row r="24" ht="15.75" hidden="1" customHeight="1">
      <c r="A24" s="28">
        <v>20.0</v>
      </c>
      <c r="B24" s="28" t="s">
        <v>234</v>
      </c>
      <c r="C24" s="29" t="s">
        <v>235</v>
      </c>
      <c r="D24" s="30" t="s">
        <v>217</v>
      </c>
      <c r="E24" s="29" t="s">
        <v>236</v>
      </c>
      <c r="F24" s="29" t="s">
        <v>237</v>
      </c>
      <c r="G24" s="29" t="s">
        <v>238</v>
      </c>
      <c r="H24" s="29" t="s">
        <v>239</v>
      </c>
      <c r="I24" s="29" t="s">
        <v>240</v>
      </c>
      <c r="J24" s="29" t="s">
        <v>241</v>
      </c>
      <c r="K24" s="29" t="s">
        <v>242</v>
      </c>
      <c r="L24" s="28" t="s">
        <v>44</v>
      </c>
      <c r="M24" s="28" t="s">
        <v>33</v>
      </c>
      <c r="N24" s="29" t="s">
        <v>44</v>
      </c>
      <c r="O24" s="29" t="s">
        <v>31</v>
      </c>
      <c r="P24" s="29" t="s">
        <v>67</v>
      </c>
      <c r="Q24" s="9"/>
      <c r="R24" s="9"/>
      <c r="S24" s="9"/>
      <c r="T24" s="9"/>
      <c r="U24" s="9"/>
      <c r="V24" s="9"/>
      <c r="W24" s="9"/>
      <c r="X24" s="9"/>
      <c r="Y24" s="9"/>
    </row>
    <row r="25" ht="15.75" hidden="1" customHeight="1">
      <c r="A25" s="25">
        <v>21.0</v>
      </c>
      <c r="B25" s="25" t="s">
        <v>243</v>
      </c>
      <c r="C25" s="26" t="s">
        <v>244</v>
      </c>
      <c r="D25" s="26" t="s">
        <v>217</v>
      </c>
      <c r="E25" s="26" t="s">
        <v>245</v>
      </c>
      <c r="F25" s="27" t="s">
        <v>246</v>
      </c>
      <c r="G25" s="27" t="s">
        <v>247</v>
      </c>
      <c r="H25" s="27" t="s">
        <v>248</v>
      </c>
      <c r="I25" s="27" t="s">
        <v>240</v>
      </c>
      <c r="J25" s="27" t="s">
        <v>249</v>
      </c>
      <c r="K25" s="27" t="s">
        <v>250</v>
      </c>
      <c r="L25" s="25"/>
      <c r="M25" s="25" t="s">
        <v>33</v>
      </c>
      <c r="N25" s="27" t="s">
        <v>30</v>
      </c>
      <c r="O25" s="27" t="s">
        <v>45</v>
      </c>
      <c r="P25" s="27"/>
      <c r="Q25" s="9"/>
      <c r="R25" s="9"/>
      <c r="S25" s="9"/>
      <c r="T25" s="9"/>
      <c r="U25" s="9"/>
      <c r="V25" s="9"/>
      <c r="W25" s="9"/>
      <c r="X25" s="9"/>
      <c r="Y25" s="9"/>
    </row>
    <row r="26" ht="206.25" customHeight="1">
      <c r="A26" s="28">
        <v>22.0</v>
      </c>
      <c r="B26" s="28" t="s">
        <v>484</v>
      </c>
      <c r="C26" s="30" t="s">
        <v>485</v>
      </c>
      <c r="D26" s="30" t="s">
        <v>262</v>
      </c>
      <c r="E26" s="30" t="s">
        <v>486</v>
      </c>
      <c r="F26" s="30" t="s">
        <v>487</v>
      </c>
      <c r="G26" s="30" t="s">
        <v>488</v>
      </c>
      <c r="H26" s="30" t="s">
        <v>489</v>
      </c>
      <c r="I26" s="30" t="s">
        <v>491</v>
      </c>
      <c r="J26" s="29" t="s">
        <v>493</v>
      </c>
      <c r="K26" s="29" t="s">
        <v>496</v>
      </c>
      <c r="L26" s="28" t="s">
        <v>30</v>
      </c>
      <c r="M26" s="28" t="s">
        <v>33</v>
      </c>
      <c r="N26" s="29" t="s">
        <v>44</v>
      </c>
      <c r="O26" s="29" t="s">
        <v>32</v>
      </c>
      <c r="P26" s="29"/>
      <c r="Q26" s="9"/>
      <c r="R26" s="9"/>
      <c r="S26" s="9"/>
      <c r="T26" s="9"/>
      <c r="U26" s="9"/>
      <c r="V26" s="9"/>
      <c r="W26" s="9"/>
      <c r="X26" s="9"/>
      <c r="Y26" s="9"/>
    </row>
    <row r="27" ht="15.75" hidden="1" customHeight="1">
      <c r="A27" s="25">
        <v>23.0</v>
      </c>
      <c r="B27" s="25" t="s">
        <v>260</v>
      </c>
      <c r="C27" s="26" t="s">
        <v>261</v>
      </c>
      <c r="D27" s="26" t="s">
        <v>262</v>
      </c>
      <c r="E27" s="26" t="s">
        <v>263</v>
      </c>
      <c r="F27" s="26" t="s">
        <v>264</v>
      </c>
      <c r="G27" s="26" t="s">
        <v>265</v>
      </c>
      <c r="H27" s="26" t="s">
        <v>266</v>
      </c>
      <c r="I27" s="26" t="s">
        <v>267</v>
      </c>
      <c r="J27" s="26" t="s">
        <v>268</v>
      </c>
      <c r="K27" s="26" t="s">
        <v>269</v>
      </c>
      <c r="L27" s="25" t="s">
        <v>30</v>
      </c>
      <c r="M27" s="25" t="s">
        <v>33</v>
      </c>
      <c r="N27" s="27" t="s">
        <v>30</v>
      </c>
      <c r="O27" s="27" t="s">
        <v>31</v>
      </c>
      <c r="P27" s="27" t="s">
        <v>30</v>
      </c>
      <c r="Q27" s="9"/>
      <c r="R27" s="9"/>
      <c r="S27" s="9"/>
      <c r="T27" s="9"/>
      <c r="U27" s="9"/>
      <c r="V27" s="9"/>
      <c r="W27" s="9"/>
      <c r="X27" s="9"/>
      <c r="Y27" s="9"/>
    </row>
    <row r="28" ht="143.25" customHeight="1">
      <c r="A28" s="28">
        <v>24.0</v>
      </c>
      <c r="B28" s="28" t="s">
        <v>270</v>
      </c>
      <c r="C28" s="29" t="s">
        <v>271</v>
      </c>
      <c r="D28" s="29" t="s">
        <v>36</v>
      </c>
      <c r="E28" s="29" t="s">
        <v>272</v>
      </c>
      <c r="F28" s="29" t="s">
        <v>273</v>
      </c>
      <c r="G28" s="29" t="s">
        <v>274</v>
      </c>
      <c r="H28" s="29" t="s">
        <v>275</v>
      </c>
      <c r="I28" s="29" t="s">
        <v>276</v>
      </c>
      <c r="J28" s="29" t="s">
        <v>277</v>
      </c>
      <c r="K28" s="29" t="s">
        <v>278</v>
      </c>
      <c r="L28" s="28" t="s">
        <v>67</v>
      </c>
      <c r="M28" s="28" t="s">
        <v>31</v>
      </c>
      <c r="N28" s="29" t="s">
        <v>67</v>
      </c>
      <c r="O28" s="29" t="s">
        <v>32</v>
      </c>
      <c r="P28" s="29"/>
      <c r="Q28" s="9"/>
      <c r="R28" s="9"/>
      <c r="S28" s="9"/>
      <c r="T28" s="9"/>
      <c r="U28" s="9"/>
      <c r="V28" s="9"/>
      <c r="W28" s="9"/>
      <c r="X28" s="9"/>
      <c r="Y28" s="9"/>
    </row>
    <row r="29" ht="15.75" hidden="1" customHeight="1">
      <c r="A29" s="25">
        <v>25.0</v>
      </c>
      <c r="B29" s="25" t="s">
        <v>280</v>
      </c>
      <c r="C29" s="27" t="s">
        <v>281</v>
      </c>
      <c r="D29" s="27" t="s">
        <v>36</v>
      </c>
      <c r="E29" s="27" t="s">
        <v>283</v>
      </c>
      <c r="F29" s="27" t="s">
        <v>284</v>
      </c>
      <c r="G29" s="27" t="s">
        <v>286</v>
      </c>
      <c r="H29" s="27" t="s">
        <v>287</v>
      </c>
      <c r="I29" s="27" t="s">
        <v>41</v>
      </c>
      <c r="J29" s="27" t="s">
        <v>289</v>
      </c>
      <c r="K29" s="27" t="s">
        <v>290</v>
      </c>
      <c r="L29" s="25" t="s">
        <v>67</v>
      </c>
      <c r="M29" s="25" t="s">
        <v>31</v>
      </c>
      <c r="N29" s="27" t="s">
        <v>67</v>
      </c>
      <c r="O29" s="27" t="s">
        <v>33</v>
      </c>
      <c r="P29" s="27" t="s">
        <v>67</v>
      </c>
      <c r="Q29" s="9"/>
      <c r="R29" s="9"/>
      <c r="S29" s="9"/>
      <c r="T29" s="9"/>
      <c r="U29" s="9"/>
      <c r="V29" s="9"/>
      <c r="W29" s="9"/>
      <c r="X29" s="9"/>
      <c r="Y29" s="9"/>
    </row>
    <row r="30" ht="15.75" hidden="1" customHeight="1">
      <c r="A30" s="28">
        <v>26.0</v>
      </c>
      <c r="B30" s="28" t="s">
        <v>296</v>
      </c>
      <c r="C30" s="29" t="s">
        <v>297</v>
      </c>
      <c r="D30" s="29" t="s">
        <v>36</v>
      </c>
      <c r="E30" s="29" t="s">
        <v>298</v>
      </c>
      <c r="F30" s="29" t="s">
        <v>299</v>
      </c>
      <c r="G30" s="29" t="s">
        <v>300</v>
      </c>
      <c r="H30" s="29" t="s">
        <v>301</v>
      </c>
      <c r="I30" s="29" t="s">
        <v>41</v>
      </c>
      <c r="J30" s="29" t="s">
        <v>302</v>
      </c>
      <c r="K30" s="29" t="s">
        <v>43</v>
      </c>
      <c r="L30" s="28" t="s">
        <v>56</v>
      </c>
      <c r="M30" s="28" t="s">
        <v>31</v>
      </c>
      <c r="N30" s="29" t="s">
        <v>44</v>
      </c>
      <c r="O30" s="29" t="s">
        <v>45</v>
      </c>
      <c r="P30" s="29"/>
      <c r="Q30" s="9"/>
      <c r="R30" s="9"/>
      <c r="S30" s="9"/>
      <c r="T30" s="9"/>
      <c r="U30" s="9"/>
      <c r="V30" s="9"/>
      <c r="W30" s="9"/>
      <c r="X30" s="9"/>
      <c r="Y30" s="9"/>
    </row>
    <row r="31" ht="15.75" customHeight="1">
      <c r="A31" s="25">
        <v>27.0</v>
      </c>
      <c r="B31" s="25" t="s">
        <v>575</v>
      </c>
      <c r="C31" s="27" t="s">
        <v>127</v>
      </c>
      <c r="D31" s="27" t="s">
        <v>36</v>
      </c>
      <c r="E31" s="27" t="s">
        <v>580</v>
      </c>
      <c r="F31" s="27" t="s">
        <v>582</v>
      </c>
      <c r="G31" s="27" t="s">
        <v>584</v>
      </c>
      <c r="H31" s="27" t="s">
        <v>586</v>
      </c>
      <c r="I31" s="27" t="s">
        <v>41</v>
      </c>
      <c r="J31" s="27" t="s">
        <v>589</v>
      </c>
      <c r="K31" s="27" t="s">
        <v>591</v>
      </c>
      <c r="L31" s="25" t="s">
        <v>56</v>
      </c>
      <c r="M31" s="25" t="s">
        <v>31</v>
      </c>
      <c r="N31" s="27" t="s">
        <v>56</v>
      </c>
      <c r="O31" s="27" t="s">
        <v>32</v>
      </c>
      <c r="P31" s="27"/>
      <c r="Q31" s="9"/>
      <c r="R31" s="9"/>
      <c r="S31" s="9"/>
      <c r="T31" s="9"/>
      <c r="U31" s="9"/>
      <c r="V31" s="9"/>
      <c r="W31" s="9"/>
      <c r="X31" s="9"/>
      <c r="Y31" s="9"/>
    </row>
    <row r="32" ht="15.75" hidden="1" customHeight="1">
      <c r="A32" s="28">
        <v>28.0</v>
      </c>
      <c r="B32" s="28" t="s">
        <v>34</v>
      </c>
      <c r="C32" s="29" t="s">
        <v>35</v>
      </c>
      <c r="D32" s="29" t="s">
        <v>36</v>
      </c>
      <c r="E32" s="29" t="s">
        <v>37</v>
      </c>
      <c r="F32" s="29" t="s">
        <v>38</v>
      </c>
      <c r="G32" s="29" t="s">
        <v>39</v>
      </c>
      <c r="H32" s="29" t="s">
        <v>40</v>
      </c>
      <c r="I32" s="29" t="s">
        <v>41</v>
      </c>
      <c r="J32" s="29" t="s">
        <v>42</v>
      </c>
      <c r="K32" s="29" t="s">
        <v>43</v>
      </c>
      <c r="L32" s="28" t="s">
        <v>44</v>
      </c>
      <c r="M32" s="28" t="s">
        <v>31</v>
      </c>
      <c r="N32" s="29" t="s">
        <v>44</v>
      </c>
      <c r="O32" s="29" t="s">
        <v>33</v>
      </c>
      <c r="P32" s="29" t="s">
        <v>44</v>
      </c>
      <c r="Q32" s="9"/>
      <c r="R32" s="9"/>
      <c r="S32" s="9"/>
      <c r="T32" s="9"/>
      <c r="U32" s="9"/>
      <c r="V32" s="9"/>
      <c r="W32" s="9"/>
      <c r="X32" s="9"/>
      <c r="Y32" s="9"/>
    </row>
    <row r="33" ht="15.75" hidden="1" customHeight="1">
      <c r="A33" s="25">
        <v>29.0</v>
      </c>
      <c r="B33" s="25" t="s">
        <v>676</v>
      </c>
      <c r="C33" s="27" t="s">
        <v>166</v>
      </c>
      <c r="D33" s="27" t="s">
        <v>36</v>
      </c>
      <c r="E33" s="27" t="s">
        <v>679</v>
      </c>
      <c r="F33" s="27" t="s">
        <v>681</v>
      </c>
      <c r="G33" s="27" t="s">
        <v>685</v>
      </c>
      <c r="H33" s="27" t="s">
        <v>691</v>
      </c>
      <c r="I33" s="27" t="s">
        <v>695</v>
      </c>
      <c r="J33" s="27" t="s">
        <v>697</v>
      </c>
      <c r="K33" s="27" t="s">
        <v>43</v>
      </c>
      <c r="L33" s="25" t="s">
        <v>30</v>
      </c>
      <c r="M33" s="25" t="s">
        <v>31</v>
      </c>
      <c r="N33" s="27" t="s">
        <v>98</v>
      </c>
      <c r="O33" s="27" t="s">
        <v>45</v>
      </c>
      <c r="P33" s="27"/>
      <c r="Q33" s="9"/>
      <c r="R33" s="9"/>
      <c r="S33" s="9"/>
      <c r="T33" s="9"/>
      <c r="U33" s="9"/>
      <c r="V33" s="9"/>
      <c r="W33" s="9"/>
      <c r="X33" s="9"/>
      <c r="Y33" s="9"/>
    </row>
    <row r="34" ht="15.75" customHeight="1">
      <c r="A34" s="28">
        <v>30.0</v>
      </c>
      <c r="B34" s="28" t="s">
        <v>722</v>
      </c>
      <c r="C34" s="29" t="s">
        <v>137</v>
      </c>
      <c r="D34" s="29" t="s">
        <v>36</v>
      </c>
      <c r="E34" s="29" t="s">
        <v>730</v>
      </c>
      <c r="F34" s="29" t="s">
        <v>733</v>
      </c>
      <c r="G34" s="29" t="s">
        <v>735</v>
      </c>
      <c r="H34" s="29" t="s">
        <v>737</v>
      </c>
      <c r="I34" s="29" t="s">
        <v>41</v>
      </c>
      <c r="J34" s="29" t="s">
        <v>739</v>
      </c>
      <c r="K34" s="29" t="s">
        <v>742</v>
      </c>
      <c r="L34" s="28" t="s">
        <v>44</v>
      </c>
      <c r="M34" s="28" t="s">
        <v>31</v>
      </c>
      <c r="N34" s="29" t="s">
        <v>44</v>
      </c>
      <c r="O34" s="29" t="s">
        <v>32</v>
      </c>
      <c r="P34" s="29"/>
      <c r="Q34" s="9"/>
      <c r="R34" s="9"/>
      <c r="S34" s="9"/>
      <c r="T34" s="9"/>
      <c r="U34" s="9"/>
      <c r="V34" s="9"/>
      <c r="W34" s="9"/>
      <c r="X34" s="9"/>
      <c r="Y34" s="9"/>
    </row>
    <row r="35" ht="15.75" hidden="1" customHeight="1">
      <c r="A35" s="25">
        <v>31.0</v>
      </c>
      <c r="B35" s="25" t="s">
        <v>321</v>
      </c>
      <c r="C35" s="27" t="s">
        <v>322</v>
      </c>
      <c r="D35" s="27" t="s">
        <v>36</v>
      </c>
      <c r="E35" s="27" t="s">
        <v>323</v>
      </c>
      <c r="F35" s="27" t="s">
        <v>324</v>
      </c>
      <c r="G35" s="27" t="s">
        <v>325</v>
      </c>
      <c r="H35" s="27" t="s">
        <v>326</v>
      </c>
      <c r="I35" s="27" t="s">
        <v>41</v>
      </c>
      <c r="J35" s="27" t="s">
        <v>327</v>
      </c>
      <c r="K35" s="27" t="s">
        <v>328</v>
      </c>
      <c r="L35" s="25" t="s">
        <v>67</v>
      </c>
      <c r="M35" s="25" t="s">
        <v>31</v>
      </c>
      <c r="N35" s="27" t="s">
        <v>67</v>
      </c>
      <c r="O35" s="27" t="s">
        <v>33</v>
      </c>
      <c r="P35" s="27" t="s">
        <v>67</v>
      </c>
      <c r="Q35" s="9"/>
      <c r="R35" s="9"/>
      <c r="S35" s="9"/>
      <c r="T35" s="9"/>
      <c r="U35" s="9"/>
      <c r="V35" s="9"/>
      <c r="W35" s="9"/>
      <c r="X35" s="9"/>
      <c r="Y35" s="9"/>
    </row>
    <row r="36" ht="15.75" hidden="1" customHeight="1">
      <c r="A36" s="28">
        <v>32.0</v>
      </c>
      <c r="B36" s="28" t="s">
        <v>329</v>
      </c>
      <c r="C36" s="29" t="s">
        <v>330</v>
      </c>
      <c r="D36" s="29" t="s">
        <v>36</v>
      </c>
      <c r="E36" s="29" t="s">
        <v>331</v>
      </c>
      <c r="F36" s="29" t="s">
        <v>332</v>
      </c>
      <c r="G36" s="29" t="s">
        <v>333</v>
      </c>
      <c r="H36" s="29" t="s">
        <v>287</v>
      </c>
      <c r="I36" s="29" t="s">
        <v>41</v>
      </c>
      <c r="J36" s="29" t="s">
        <v>334</v>
      </c>
      <c r="K36" s="29" t="s">
        <v>43</v>
      </c>
      <c r="L36" s="28" t="s">
        <v>67</v>
      </c>
      <c r="M36" s="28" t="s">
        <v>31</v>
      </c>
      <c r="N36" s="29" t="s">
        <v>67</v>
      </c>
      <c r="O36" s="29" t="s">
        <v>45</v>
      </c>
      <c r="P36" s="29"/>
      <c r="Q36" s="9"/>
      <c r="R36" s="9"/>
      <c r="S36" s="9"/>
      <c r="T36" s="9"/>
      <c r="U36" s="9"/>
      <c r="V36" s="9"/>
      <c r="W36" s="9"/>
      <c r="X36" s="9"/>
      <c r="Y36" s="9"/>
    </row>
    <row r="37" ht="15.75" customHeight="1">
      <c r="A37" s="25">
        <v>33.0</v>
      </c>
      <c r="B37" s="25" t="s">
        <v>335</v>
      </c>
      <c r="C37" s="27" t="s">
        <v>336</v>
      </c>
      <c r="D37" s="27" t="s">
        <v>36</v>
      </c>
      <c r="E37" s="27" t="s">
        <v>337</v>
      </c>
      <c r="F37" s="27" t="s">
        <v>338</v>
      </c>
      <c r="G37" s="27" t="s">
        <v>339</v>
      </c>
      <c r="H37" s="27" t="s">
        <v>340</v>
      </c>
      <c r="I37" s="27" t="s">
        <v>341</v>
      </c>
      <c r="J37" s="27" t="s">
        <v>342</v>
      </c>
      <c r="K37" s="27" t="s">
        <v>343</v>
      </c>
      <c r="L37" s="25" t="s">
        <v>30</v>
      </c>
      <c r="M37" s="25" t="s">
        <v>31</v>
      </c>
      <c r="N37" s="27" t="s">
        <v>30</v>
      </c>
      <c r="O37" s="27" t="s">
        <v>32</v>
      </c>
      <c r="P37" s="27"/>
      <c r="Q37" s="9"/>
      <c r="R37" s="9"/>
      <c r="S37" s="9"/>
      <c r="T37" s="9"/>
      <c r="U37" s="9"/>
      <c r="V37" s="9"/>
      <c r="W37" s="9"/>
      <c r="X37" s="9"/>
      <c r="Y37" s="9"/>
    </row>
    <row r="38" ht="15.75" hidden="1" customHeight="1">
      <c r="A38" s="28">
        <v>34.0</v>
      </c>
      <c r="B38" s="28" t="s">
        <v>815</v>
      </c>
      <c r="C38" s="29" t="s">
        <v>816</v>
      </c>
      <c r="D38" s="29" t="s">
        <v>36</v>
      </c>
      <c r="E38" s="29" t="s">
        <v>819</v>
      </c>
      <c r="F38" s="29" t="s">
        <v>822</v>
      </c>
      <c r="G38" s="29" t="s">
        <v>824</v>
      </c>
      <c r="H38" s="29" t="s">
        <v>826</v>
      </c>
      <c r="I38" s="29" t="s">
        <v>41</v>
      </c>
      <c r="J38" s="29" t="s">
        <v>828</v>
      </c>
      <c r="K38" s="29" t="s">
        <v>829</v>
      </c>
      <c r="L38" s="28" t="s">
        <v>44</v>
      </c>
      <c r="M38" s="28" t="s">
        <v>31</v>
      </c>
      <c r="N38" s="29" t="s">
        <v>44</v>
      </c>
      <c r="O38" s="29" t="s">
        <v>33</v>
      </c>
      <c r="P38" s="29" t="s">
        <v>44</v>
      </c>
      <c r="Q38" s="9"/>
      <c r="R38" s="9"/>
      <c r="S38" s="9"/>
      <c r="T38" s="9"/>
      <c r="U38" s="9"/>
      <c r="V38" s="9"/>
      <c r="W38" s="9"/>
      <c r="X38" s="9"/>
      <c r="Y38" s="9"/>
    </row>
    <row r="39" ht="15.75" hidden="1" customHeight="1">
      <c r="A39" s="25">
        <v>35.0</v>
      </c>
      <c r="B39" s="25" t="s">
        <v>863</v>
      </c>
      <c r="C39" s="27" t="s">
        <v>864</v>
      </c>
      <c r="D39" s="27" t="s">
        <v>36</v>
      </c>
      <c r="E39" s="27" t="s">
        <v>866</v>
      </c>
      <c r="F39" s="27" t="s">
        <v>869</v>
      </c>
      <c r="G39" s="27" t="s">
        <v>871</v>
      </c>
      <c r="H39" s="27" t="s">
        <v>874</v>
      </c>
      <c r="I39" s="27" t="s">
        <v>41</v>
      </c>
      <c r="J39" s="27" t="s">
        <v>877</v>
      </c>
      <c r="K39" s="27" t="s">
        <v>880</v>
      </c>
      <c r="L39" s="25" t="s">
        <v>67</v>
      </c>
      <c r="M39" s="25" t="s">
        <v>31</v>
      </c>
      <c r="N39" s="27" t="s">
        <v>67</v>
      </c>
      <c r="O39" s="27" t="s">
        <v>45</v>
      </c>
      <c r="P39" s="27"/>
      <c r="Q39" s="9"/>
      <c r="R39" s="9"/>
      <c r="S39" s="9"/>
      <c r="T39" s="9"/>
      <c r="U39" s="9"/>
      <c r="V39" s="9"/>
      <c r="W39" s="9"/>
      <c r="X39" s="9"/>
      <c r="Y39" s="9"/>
    </row>
    <row r="40" ht="15.75" customHeight="1">
      <c r="A40" s="28">
        <v>36.0</v>
      </c>
      <c r="B40" s="28" t="s">
        <v>354</v>
      </c>
      <c r="C40" s="29" t="s">
        <v>355</v>
      </c>
      <c r="D40" s="29" t="s">
        <v>90</v>
      </c>
      <c r="E40" s="29" t="s">
        <v>356</v>
      </c>
      <c r="F40" s="29" t="s">
        <v>357</v>
      </c>
      <c r="G40" s="29" t="s">
        <v>358</v>
      </c>
      <c r="H40" s="29" t="s">
        <v>359</v>
      </c>
      <c r="I40" s="29" t="s">
        <v>360</v>
      </c>
      <c r="J40" s="29" t="s">
        <v>361</v>
      </c>
      <c r="K40" s="29" t="s">
        <v>343</v>
      </c>
      <c r="L40" s="28" t="s">
        <v>30</v>
      </c>
      <c r="M40" s="28" t="s">
        <v>31</v>
      </c>
      <c r="N40" s="29" t="s">
        <v>30</v>
      </c>
      <c r="O40" s="29" t="s">
        <v>32</v>
      </c>
      <c r="P40" s="29"/>
      <c r="Q40" s="9"/>
      <c r="R40" s="9"/>
      <c r="S40" s="9"/>
      <c r="T40" s="9"/>
      <c r="U40" s="9"/>
      <c r="V40" s="9"/>
      <c r="W40" s="9"/>
      <c r="X40" s="9"/>
      <c r="Y40" s="9"/>
    </row>
    <row r="41" ht="15.75" hidden="1" customHeight="1">
      <c r="A41" s="25">
        <v>37.0</v>
      </c>
      <c r="B41" s="25" t="s">
        <v>905</v>
      </c>
      <c r="C41" s="27" t="s">
        <v>907</v>
      </c>
      <c r="D41" s="27" t="s">
        <v>90</v>
      </c>
      <c r="E41" s="27" t="s">
        <v>909</v>
      </c>
      <c r="F41" s="27" t="s">
        <v>910</v>
      </c>
      <c r="G41" s="27" t="s">
        <v>911</v>
      </c>
      <c r="H41" s="27" t="s">
        <v>912</v>
      </c>
      <c r="I41" s="27" t="s">
        <v>914</v>
      </c>
      <c r="J41" s="27" t="s">
        <v>916</v>
      </c>
      <c r="K41" s="27" t="s">
        <v>919</v>
      </c>
      <c r="L41" s="25" t="s">
        <v>30</v>
      </c>
      <c r="M41" s="25" t="s">
        <v>31</v>
      </c>
      <c r="N41" s="27" t="s">
        <v>44</v>
      </c>
      <c r="O41" s="27" t="s">
        <v>33</v>
      </c>
      <c r="P41" s="27" t="s">
        <v>30</v>
      </c>
      <c r="Q41" s="9"/>
      <c r="R41" s="9"/>
      <c r="S41" s="9"/>
      <c r="T41" s="9"/>
      <c r="U41" s="9"/>
      <c r="V41" s="9"/>
      <c r="W41" s="9"/>
      <c r="X41" s="9"/>
      <c r="Y41" s="9"/>
    </row>
    <row r="42" ht="15.75" hidden="1" customHeight="1">
      <c r="A42" s="28">
        <v>38.0</v>
      </c>
      <c r="B42" s="28" t="s">
        <v>925</v>
      </c>
      <c r="C42" s="29" t="s">
        <v>146</v>
      </c>
      <c r="D42" s="29" t="s">
        <v>90</v>
      </c>
      <c r="E42" s="29" t="s">
        <v>931</v>
      </c>
      <c r="F42" s="29" t="s">
        <v>934</v>
      </c>
      <c r="G42" s="29" t="s">
        <v>936</v>
      </c>
      <c r="H42" s="29" t="s">
        <v>938</v>
      </c>
      <c r="I42" s="29" t="s">
        <v>939</v>
      </c>
      <c r="J42" s="29" t="s">
        <v>940</v>
      </c>
      <c r="K42" s="29" t="s">
        <v>941</v>
      </c>
      <c r="L42" s="28" t="s">
        <v>30</v>
      </c>
      <c r="M42" s="28" t="s">
        <v>31</v>
      </c>
      <c r="N42" s="29" t="s">
        <v>30</v>
      </c>
      <c r="O42" s="29" t="s">
        <v>45</v>
      </c>
      <c r="P42" s="29"/>
      <c r="Q42" s="9"/>
      <c r="R42" s="9"/>
      <c r="S42" s="9"/>
      <c r="T42" s="9"/>
      <c r="U42" s="9"/>
      <c r="V42" s="9"/>
      <c r="W42" s="9"/>
      <c r="X42" s="9"/>
      <c r="Y42" s="9"/>
    </row>
    <row r="43" ht="15.75" customHeight="1">
      <c r="A43" s="25">
        <v>39.0</v>
      </c>
      <c r="B43" s="25" t="s">
        <v>372</v>
      </c>
      <c r="C43" s="27" t="s">
        <v>146</v>
      </c>
      <c r="D43" s="27" t="s">
        <v>90</v>
      </c>
      <c r="E43" s="27" t="s">
        <v>373</v>
      </c>
      <c r="F43" s="27" t="s">
        <v>374</v>
      </c>
      <c r="G43" s="27" t="s">
        <v>375</v>
      </c>
      <c r="H43" s="27" t="s">
        <v>376</v>
      </c>
      <c r="I43" s="27" t="s">
        <v>41</v>
      </c>
      <c r="J43" s="27" t="s">
        <v>377</v>
      </c>
      <c r="K43" s="27" t="s">
        <v>378</v>
      </c>
      <c r="L43" s="25" t="s">
        <v>44</v>
      </c>
      <c r="M43" s="25" t="s">
        <v>31</v>
      </c>
      <c r="N43" s="27" t="s">
        <v>44</v>
      </c>
      <c r="O43" s="27" t="s">
        <v>32</v>
      </c>
      <c r="P43" s="27"/>
      <c r="Q43" s="9"/>
      <c r="R43" s="9"/>
      <c r="S43" s="9"/>
      <c r="T43" s="9"/>
      <c r="U43" s="9"/>
      <c r="V43" s="9"/>
      <c r="W43" s="9"/>
      <c r="X43" s="9"/>
      <c r="Y43" s="9"/>
    </row>
    <row r="44" ht="15.75" hidden="1" customHeight="1">
      <c r="A44" s="28">
        <v>40.0</v>
      </c>
      <c r="B44" s="28" t="s">
        <v>379</v>
      </c>
      <c r="C44" s="29" t="s">
        <v>146</v>
      </c>
      <c r="D44" s="29" t="s">
        <v>90</v>
      </c>
      <c r="E44" s="29" t="s">
        <v>380</v>
      </c>
      <c r="F44" s="29" t="s">
        <v>381</v>
      </c>
      <c r="G44" s="29" t="s">
        <v>382</v>
      </c>
      <c r="H44" s="29" t="s">
        <v>383</v>
      </c>
      <c r="I44" s="29" t="s">
        <v>384</v>
      </c>
      <c r="J44" s="29" t="s">
        <v>385</v>
      </c>
      <c r="K44" s="29" t="s">
        <v>386</v>
      </c>
      <c r="L44" s="28" t="s">
        <v>30</v>
      </c>
      <c r="M44" s="28" t="s">
        <v>31</v>
      </c>
      <c r="N44" s="29" t="s">
        <v>67</v>
      </c>
      <c r="O44" s="29" t="s">
        <v>33</v>
      </c>
      <c r="P44" s="29" t="s">
        <v>44</v>
      </c>
      <c r="Q44" s="9"/>
      <c r="R44" s="9"/>
      <c r="S44" s="9"/>
      <c r="T44" s="9"/>
      <c r="U44" s="9"/>
      <c r="V44" s="9"/>
      <c r="W44" s="9"/>
      <c r="X44" s="9"/>
      <c r="Y44" s="9"/>
    </row>
    <row r="45" ht="15.75" hidden="1" customHeight="1">
      <c r="A45" s="25">
        <v>41.0</v>
      </c>
      <c r="B45" s="25" t="s">
        <v>389</v>
      </c>
      <c r="C45" s="27" t="s">
        <v>390</v>
      </c>
      <c r="D45" s="27" t="s">
        <v>90</v>
      </c>
      <c r="E45" s="27" t="s">
        <v>392</v>
      </c>
      <c r="F45" s="27" t="s">
        <v>393</v>
      </c>
      <c r="G45" s="27" t="s">
        <v>395</v>
      </c>
      <c r="H45" s="27" t="s">
        <v>396</v>
      </c>
      <c r="I45" s="27" t="s">
        <v>398</v>
      </c>
      <c r="J45" s="27" t="s">
        <v>400</v>
      </c>
      <c r="K45" s="27" t="s">
        <v>401</v>
      </c>
      <c r="L45" s="25" t="s">
        <v>44</v>
      </c>
      <c r="M45" s="25" t="s">
        <v>31</v>
      </c>
      <c r="N45" s="27" t="s">
        <v>67</v>
      </c>
      <c r="O45" s="27" t="s">
        <v>45</v>
      </c>
      <c r="P45" s="27"/>
      <c r="Q45" s="9"/>
      <c r="R45" s="9"/>
      <c r="S45" s="9"/>
      <c r="T45" s="9"/>
      <c r="U45" s="9"/>
      <c r="V45" s="9"/>
      <c r="W45" s="9"/>
      <c r="X45" s="9"/>
      <c r="Y45" s="9"/>
    </row>
    <row r="46" ht="15.75" customHeight="1">
      <c r="A46" s="28">
        <v>42.0</v>
      </c>
      <c r="B46" s="28" t="s">
        <v>405</v>
      </c>
      <c r="C46" s="29" t="s">
        <v>406</v>
      </c>
      <c r="D46" s="29" t="s">
        <v>90</v>
      </c>
      <c r="E46" s="29" t="s">
        <v>407</v>
      </c>
      <c r="F46" s="29" t="s">
        <v>408</v>
      </c>
      <c r="G46" s="29" t="s">
        <v>409</v>
      </c>
      <c r="H46" s="29" t="s">
        <v>410</v>
      </c>
      <c r="I46" s="29" t="s">
        <v>411</v>
      </c>
      <c r="J46" s="29" t="s">
        <v>412</v>
      </c>
      <c r="K46" s="29" t="s">
        <v>413</v>
      </c>
      <c r="L46" s="28" t="s">
        <v>44</v>
      </c>
      <c r="M46" s="28" t="s">
        <v>31</v>
      </c>
      <c r="N46" s="29" t="s">
        <v>67</v>
      </c>
      <c r="O46" s="29" t="s">
        <v>32</v>
      </c>
      <c r="P46" s="29"/>
      <c r="Q46" s="9"/>
      <c r="R46" s="9"/>
      <c r="S46" s="9"/>
      <c r="T46" s="9"/>
      <c r="U46" s="9"/>
      <c r="V46" s="9"/>
      <c r="W46" s="9"/>
      <c r="X46" s="9"/>
      <c r="Y46" s="9"/>
    </row>
    <row r="47" ht="15.75" hidden="1" customHeight="1">
      <c r="A47" s="25">
        <v>43.0</v>
      </c>
      <c r="B47" s="25" t="s">
        <v>414</v>
      </c>
      <c r="C47" s="27" t="s">
        <v>415</v>
      </c>
      <c r="D47" s="27" t="s">
        <v>90</v>
      </c>
      <c r="E47" s="27" t="s">
        <v>416</v>
      </c>
      <c r="F47" s="27" t="s">
        <v>417</v>
      </c>
      <c r="G47" s="27" t="s">
        <v>418</v>
      </c>
      <c r="H47" s="27" t="s">
        <v>419</v>
      </c>
      <c r="I47" s="27" t="s">
        <v>420</v>
      </c>
      <c r="J47" s="27" t="s">
        <v>421</v>
      </c>
      <c r="K47" s="27" t="s">
        <v>401</v>
      </c>
      <c r="L47" s="25" t="s">
        <v>44</v>
      </c>
      <c r="M47" s="25" t="s">
        <v>31</v>
      </c>
      <c r="N47" s="27" t="s">
        <v>67</v>
      </c>
      <c r="O47" s="27" t="s">
        <v>33</v>
      </c>
      <c r="P47" s="27" t="s">
        <v>44</v>
      </c>
      <c r="Q47" s="9"/>
      <c r="R47" s="9"/>
      <c r="S47" s="9"/>
      <c r="T47" s="9"/>
      <c r="U47" s="9"/>
      <c r="V47" s="9"/>
      <c r="W47" s="9"/>
      <c r="X47" s="9"/>
      <c r="Y47" s="9"/>
    </row>
    <row r="48" ht="15.75" hidden="1" customHeight="1">
      <c r="A48" s="28">
        <v>44.0</v>
      </c>
      <c r="B48" s="28" t="s">
        <v>1026</v>
      </c>
      <c r="C48" s="29" t="s">
        <v>1028</v>
      </c>
      <c r="D48" s="29" t="s">
        <v>90</v>
      </c>
      <c r="E48" s="29" t="s">
        <v>1033</v>
      </c>
      <c r="F48" s="29" t="s">
        <v>1034</v>
      </c>
      <c r="G48" s="29" t="s">
        <v>1035</v>
      </c>
      <c r="H48" s="29" t="s">
        <v>1036</v>
      </c>
      <c r="I48" s="29" t="s">
        <v>1037</v>
      </c>
      <c r="J48" s="29" t="s">
        <v>1038</v>
      </c>
      <c r="K48" s="29" t="s">
        <v>401</v>
      </c>
      <c r="L48" s="28" t="s">
        <v>44</v>
      </c>
      <c r="M48" s="28" t="s">
        <v>31</v>
      </c>
      <c r="N48" s="29" t="s">
        <v>44</v>
      </c>
      <c r="O48" s="29" t="s">
        <v>45</v>
      </c>
      <c r="P48" s="29"/>
      <c r="Q48" s="9"/>
      <c r="R48" s="9"/>
      <c r="S48" s="9"/>
      <c r="T48" s="9"/>
      <c r="U48" s="9"/>
      <c r="V48" s="9"/>
      <c r="W48" s="9"/>
      <c r="X48" s="9"/>
      <c r="Y48" s="9"/>
    </row>
    <row r="49" ht="15.75" customHeight="1">
      <c r="A49" s="25">
        <v>45.0</v>
      </c>
      <c r="B49" s="25" t="s">
        <v>422</v>
      </c>
      <c r="C49" s="27" t="s">
        <v>423</v>
      </c>
      <c r="D49" s="27" t="s">
        <v>90</v>
      </c>
      <c r="E49" s="27" t="s">
        <v>424</v>
      </c>
      <c r="F49" s="27" t="s">
        <v>425</v>
      </c>
      <c r="G49" s="27" t="s">
        <v>426</v>
      </c>
      <c r="H49" s="27" t="s">
        <v>427</v>
      </c>
      <c r="I49" s="27" t="s">
        <v>428</v>
      </c>
      <c r="J49" s="27" t="s">
        <v>429</v>
      </c>
      <c r="K49" s="27" t="s">
        <v>430</v>
      </c>
      <c r="L49" s="25" t="s">
        <v>30</v>
      </c>
      <c r="M49" s="25" t="s">
        <v>31</v>
      </c>
      <c r="N49" s="27" t="s">
        <v>30</v>
      </c>
      <c r="O49" s="27" t="s">
        <v>32</v>
      </c>
      <c r="P49" s="27"/>
      <c r="Q49" s="9"/>
      <c r="R49" s="9"/>
      <c r="S49" s="9"/>
      <c r="T49" s="9"/>
      <c r="U49" s="9"/>
      <c r="V49" s="9"/>
      <c r="W49" s="9"/>
      <c r="X49" s="9"/>
      <c r="Y49" s="9"/>
    </row>
    <row r="50" ht="15.75" hidden="1" customHeight="1">
      <c r="A50" s="28">
        <v>46.0</v>
      </c>
      <c r="B50" s="28" t="s">
        <v>431</v>
      </c>
      <c r="C50" s="29" t="s">
        <v>432</v>
      </c>
      <c r="D50" s="29" t="s">
        <v>90</v>
      </c>
      <c r="E50" s="29" t="s">
        <v>433</v>
      </c>
      <c r="F50" s="29" t="s">
        <v>434</v>
      </c>
      <c r="G50" s="29" t="s">
        <v>435</v>
      </c>
      <c r="H50" s="29" t="s">
        <v>436</v>
      </c>
      <c r="I50" s="29" t="s">
        <v>437</v>
      </c>
      <c r="J50" s="29" t="s">
        <v>438</v>
      </c>
      <c r="K50" s="29" t="s">
        <v>439</v>
      </c>
      <c r="L50" s="28" t="s">
        <v>44</v>
      </c>
      <c r="M50" s="28" t="s">
        <v>31</v>
      </c>
      <c r="N50" s="29" t="s">
        <v>30</v>
      </c>
      <c r="O50" s="29" t="s">
        <v>33</v>
      </c>
      <c r="P50" s="29" t="s">
        <v>30</v>
      </c>
      <c r="Q50" s="9"/>
      <c r="R50" s="9"/>
      <c r="S50" s="9"/>
      <c r="T50" s="9"/>
      <c r="U50" s="9"/>
      <c r="V50" s="9"/>
      <c r="W50" s="9"/>
      <c r="X50" s="9"/>
      <c r="Y50" s="9"/>
    </row>
    <row r="51" ht="15.75" hidden="1" customHeight="1">
      <c r="A51" s="25">
        <v>47.0</v>
      </c>
      <c r="B51" s="25" t="s">
        <v>1071</v>
      </c>
      <c r="C51" s="27" t="s">
        <v>190</v>
      </c>
      <c r="D51" s="27" t="s">
        <v>90</v>
      </c>
      <c r="E51" s="27" t="s">
        <v>1072</v>
      </c>
      <c r="F51" s="27" t="s">
        <v>1073</v>
      </c>
      <c r="G51" s="27" t="s">
        <v>1076</v>
      </c>
      <c r="H51" s="27" t="s">
        <v>1079</v>
      </c>
      <c r="I51" s="27" t="s">
        <v>1080</v>
      </c>
      <c r="J51" s="27" t="s">
        <v>1082</v>
      </c>
      <c r="K51" s="27" t="s">
        <v>1084</v>
      </c>
      <c r="L51" s="25" t="s">
        <v>30</v>
      </c>
      <c r="M51" s="25" t="s">
        <v>31</v>
      </c>
      <c r="N51" s="27" t="s">
        <v>30</v>
      </c>
      <c r="O51" s="27" t="s">
        <v>45</v>
      </c>
      <c r="P51" s="27"/>
      <c r="Q51" s="9"/>
      <c r="R51" s="9"/>
      <c r="S51" s="9"/>
      <c r="T51" s="9"/>
      <c r="U51" s="9"/>
      <c r="V51" s="9"/>
      <c r="W51" s="9"/>
      <c r="X51" s="9"/>
      <c r="Y51" s="9"/>
    </row>
    <row r="52" ht="15.75" customHeight="1">
      <c r="A52" s="28">
        <v>48.0</v>
      </c>
      <c r="B52" s="28" t="s">
        <v>1091</v>
      </c>
      <c r="C52" s="29" t="s">
        <v>1093</v>
      </c>
      <c r="D52" s="29" t="s">
        <v>90</v>
      </c>
      <c r="E52" s="29" t="s">
        <v>1096</v>
      </c>
      <c r="F52" s="29" t="s">
        <v>1097</v>
      </c>
      <c r="G52" s="29" t="s">
        <v>1098</v>
      </c>
      <c r="H52" s="29" t="s">
        <v>1099</v>
      </c>
      <c r="I52" s="29" t="s">
        <v>1100</v>
      </c>
      <c r="J52" s="29" t="s">
        <v>1101</v>
      </c>
      <c r="K52" s="29" t="s">
        <v>401</v>
      </c>
      <c r="L52" s="28" t="s">
        <v>56</v>
      </c>
      <c r="M52" s="28" t="s">
        <v>31</v>
      </c>
      <c r="N52" s="29" t="s">
        <v>56</v>
      </c>
      <c r="O52" s="29" t="s">
        <v>32</v>
      </c>
      <c r="P52" s="29"/>
      <c r="Q52" s="9"/>
      <c r="R52" s="9"/>
      <c r="S52" s="9"/>
      <c r="T52" s="9"/>
      <c r="U52" s="9"/>
      <c r="V52" s="9"/>
      <c r="W52" s="9"/>
      <c r="X52" s="9"/>
      <c r="Y52" s="9"/>
    </row>
    <row r="53" ht="15.75" hidden="1" customHeight="1">
      <c r="A53" s="25">
        <v>49.0</v>
      </c>
      <c r="B53" s="25" t="s">
        <v>458</v>
      </c>
      <c r="C53" s="27" t="s">
        <v>355</v>
      </c>
      <c r="D53" s="27" t="s">
        <v>90</v>
      </c>
      <c r="E53" s="27" t="s">
        <v>459</v>
      </c>
      <c r="F53" s="27" t="s">
        <v>460</v>
      </c>
      <c r="G53" s="27" t="s">
        <v>461</v>
      </c>
      <c r="H53" s="27" t="s">
        <v>462</v>
      </c>
      <c r="I53" s="27" t="s">
        <v>463</v>
      </c>
      <c r="J53" s="27" t="s">
        <v>464</v>
      </c>
      <c r="K53" s="27" t="s">
        <v>465</v>
      </c>
      <c r="L53" s="25" t="s">
        <v>30</v>
      </c>
      <c r="M53" s="25" t="s">
        <v>31</v>
      </c>
      <c r="N53" s="27" t="s">
        <v>30</v>
      </c>
      <c r="O53" s="27" t="s">
        <v>33</v>
      </c>
      <c r="P53" s="27" t="s">
        <v>30</v>
      </c>
      <c r="Q53" s="9"/>
      <c r="R53" s="9"/>
      <c r="S53" s="9"/>
      <c r="T53" s="9"/>
      <c r="U53" s="9"/>
      <c r="V53" s="9"/>
      <c r="W53" s="9"/>
      <c r="X53" s="9"/>
      <c r="Y53" s="9"/>
    </row>
    <row r="54" ht="15.75" hidden="1" customHeight="1">
      <c r="A54" s="28">
        <v>50.0</v>
      </c>
      <c r="B54" s="28" t="s">
        <v>88</v>
      </c>
      <c r="C54" s="29" t="s">
        <v>89</v>
      </c>
      <c r="D54" s="29" t="s">
        <v>90</v>
      </c>
      <c r="E54" s="29" t="s">
        <v>91</v>
      </c>
      <c r="F54" s="29" t="s">
        <v>92</v>
      </c>
      <c r="G54" s="29" t="s">
        <v>93</v>
      </c>
      <c r="H54" s="29" t="s">
        <v>94</v>
      </c>
      <c r="I54" s="29" t="s">
        <v>95</v>
      </c>
      <c r="J54" s="29" t="s">
        <v>96</v>
      </c>
      <c r="K54" s="29" t="s">
        <v>97</v>
      </c>
      <c r="L54" s="28" t="s">
        <v>98</v>
      </c>
      <c r="M54" s="28" t="s">
        <v>31</v>
      </c>
      <c r="N54" s="29" t="s">
        <v>98</v>
      </c>
      <c r="O54" s="29" t="s">
        <v>45</v>
      </c>
      <c r="P54" s="29"/>
      <c r="Q54" s="9"/>
      <c r="R54" s="9"/>
      <c r="S54" s="9"/>
      <c r="T54" s="9"/>
      <c r="U54" s="9"/>
      <c r="V54" s="9"/>
      <c r="W54" s="9"/>
      <c r="X54" s="9"/>
      <c r="Y54" s="9"/>
    </row>
    <row r="55" ht="15.75" customHeight="1">
      <c r="A55" s="25">
        <v>51.0</v>
      </c>
      <c r="B55" s="25" t="s">
        <v>1138</v>
      </c>
      <c r="C55" s="27" t="s">
        <v>1140</v>
      </c>
      <c r="D55" s="27" t="s">
        <v>90</v>
      </c>
      <c r="E55" s="27" t="s">
        <v>1142</v>
      </c>
      <c r="F55" s="27" t="s">
        <v>1143</v>
      </c>
      <c r="G55" s="27" t="s">
        <v>1144</v>
      </c>
      <c r="H55" s="27" t="s">
        <v>1147</v>
      </c>
      <c r="I55" s="27" t="s">
        <v>1153</v>
      </c>
      <c r="J55" s="27" t="s">
        <v>1156</v>
      </c>
      <c r="K55" s="27" t="s">
        <v>401</v>
      </c>
      <c r="L55" s="25" t="s">
        <v>56</v>
      </c>
      <c r="M55" s="25" t="s">
        <v>31</v>
      </c>
      <c r="N55" s="27" t="s">
        <v>56</v>
      </c>
      <c r="O55" s="27" t="s">
        <v>32</v>
      </c>
      <c r="P55" s="27"/>
      <c r="Q55" s="9"/>
      <c r="R55" s="9"/>
      <c r="S55" s="9"/>
      <c r="T55" s="9"/>
      <c r="U55" s="9"/>
      <c r="V55" s="9"/>
      <c r="W55" s="9"/>
      <c r="X55" s="9"/>
      <c r="Y55" s="9"/>
    </row>
    <row r="56" ht="15.75" hidden="1" customHeight="1">
      <c r="A56" s="28">
        <v>52.0</v>
      </c>
      <c r="B56" s="28" t="s">
        <v>490</v>
      </c>
      <c r="C56" s="29" t="s">
        <v>415</v>
      </c>
      <c r="D56" s="29" t="s">
        <v>90</v>
      </c>
      <c r="E56" s="29" t="s">
        <v>492</v>
      </c>
      <c r="F56" s="29" t="s">
        <v>494</v>
      </c>
      <c r="G56" s="29" t="s">
        <v>495</v>
      </c>
      <c r="H56" s="29" t="s">
        <v>497</v>
      </c>
      <c r="I56" s="29" t="s">
        <v>498</v>
      </c>
      <c r="J56" s="29" t="s">
        <v>499</v>
      </c>
      <c r="K56" s="29" t="s">
        <v>500</v>
      </c>
      <c r="L56" s="28" t="s">
        <v>30</v>
      </c>
      <c r="M56" s="28" t="s">
        <v>31</v>
      </c>
      <c r="N56" s="29" t="s">
        <v>30</v>
      </c>
      <c r="O56" s="29" t="s">
        <v>33</v>
      </c>
      <c r="P56" s="29" t="s">
        <v>30</v>
      </c>
      <c r="Q56" s="9"/>
      <c r="R56" s="9"/>
      <c r="S56" s="9"/>
      <c r="T56" s="9"/>
      <c r="U56" s="9"/>
      <c r="V56" s="9"/>
      <c r="W56" s="9"/>
      <c r="X56" s="9"/>
      <c r="Y56" s="9"/>
    </row>
    <row r="57" ht="15.75" hidden="1" customHeight="1">
      <c r="A57" s="25">
        <v>53.0</v>
      </c>
      <c r="B57" s="25" t="s">
        <v>501</v>
      </c>
      <c r="C57" s="27" t="s">
        <v>502</v>
      </c>
      <c r="D57" s="27" t="s">
        <v>90</v>
      </c>
      <c r="E57" s="27" t="s">
        <v>503</v>
      </c>
      <c r="F57" s="27" t="s">
        <v>504</v>
      </c>
      <c r="G57" s="27" t="s">
        <v>505</v>
      </c>
      <c r="H57" s="27" t="s">
        <v>506</v>
      </c>
      <c r="I57" s="27" t="s">
        <v>507</v>
      </c>
      <c r="J57" s="27" t="s">
        <v>508</v>
      </c>
      <c r="K57" s="27" t="s">
        <v>509</v>
      </c>
      <c r="L57" s="25" t="s">
        <v>56</v>
      </c>
      <c r="M57" s="25" t="s">
        <v>31</v>
      </c>
      <c r="N57" s="27" t="s">
        <v>56</v>
      </c>
      <c r="O57" s="27" t="s">
        <v>45</v>
      </c>
      <c r="P57" s="27"/>
      <c r="Q57" s="9"/>
      <c r="R57" s="9"/>
      <c r="S57" s="9"/>
      <c r="T57" s="9"/>
      <c r="U57" s="9"/>
      <c r="V57" s="9"/>
      <c r="W57" s="9"/>
      <c r="X57" s="9"/>
      <c r="Y57" s="9"/>
    </row>
    <row r="58" ht="15.75" customHeight="1">
      <c r="A58" s="28">
        <v>54.0</v>
      </c>
      <c r="B58" s="28" t="s">
        <v>145</v>
      </c>
      <c r="C58" s="29" t="s">
        <v>146</v>
      </c>
      <c r="D58" s="29" t="s">
        <v>90</v>
      </c>
      <c r="E58" s="29" t="s">
        <v>147</v>
      </c>
      <c r="F58" s="29" t="s">
        <v>148</v>
      </c>
      <c r="G58" s="29" t="s">
        <v>149</v>
      </c>
      <c r="H58" s="29" t="s">
        <v>150</v>
      </c>
      <c r="I58" s="29" t="s">
        <v>151</v>
      </c>
      <c r="J58" s="29" t="s">
        <v>152</v>
      </c>
      <c r="K58" s="29" t="s">
        <v>154</v>
      </c>
      <c r="L58" s="28" t="s">
        <v>30</v>
      </c>
      <c r="M58" s="28" t="s">
        <v>31</v>
      </c>
      <c r="N58" s="29" t="s">
        <v>30</v>
      </c>
      <c r="O58" s="29" t="s">
        <v>32</v>
      </c>
      <c r="P58" s="29"/>
      <c r="Q58" s="9"/>
      <c r="R58" s="9"/>
      <c r="S58" s="9"/>
      <c r="T58" s="9"/>
      <c r="U58" s="9"/>
      <c r="V58" s="9"/>
      <c r="W58" s="9"/>
      <c r="X58" s="9"/>
      <c r="Y58" s="9"/>
    </row>
    <row r="59" ht="15.75" hidden="1" customHeight="1">
      <c r="A59" s="25">
        <v>55.0</v>
      </c>
      <c r="B59" s="25" t="s">
        <v>518</v>
      </c>
      <c r="C59" s="27" t="s">
        <v>355</v>
      </c>
      <c r="D59" s="27" t="s">
        <v>90</v>
      </c>
      <c r="E59" s="27" t="s">
        <v>519</v>
      </c>
      <c r="F59" s="27" t="s">
        <v>520</v>
      </c>
      <c r="G59" s="27" t="s">
        <v>521</v>
      </c>
      <c r="H59" s="27" t="s">
        <v>522</v>
      </c>
      <c r="I59" s="27" t="s">
        <v>523</v>
      </c>
      <c r="J59" s="27" t="s">
        <v>524</v>
      </c>
      <c r="K59" s="27" t="s">
        <v>525</v>
      </c>
      <c r="L59" s="25" t="s">
        <v>30</v>
      </c>
      <c r="M59" s="25" t="s">
        <v>31</v>
      </c>
      <c r="N59" s="27" t="s">
        <v>30</v>
      </c>
      <c r="O59" s="27" t="s">
        <v>33</v>
      </c>
      <c r="P59" s="27" t="s">
        <v>30</v>
      </c>
      <c r="Q59" s="9"/>
      <c r="R59" s="9"/>
      <c r="S59" s="9"/>
      <c r="T59" s="9"/>
      <c r="U59" s="9"/>
      <c r="V59" s="9"/>
      <c r="W59" s="9"/>
      <c r="X59" s="9"/>
      <c r="Y59" s="9"/>
    </row>
    <row r="60" ht="15.75" hidden="1" customHeight="1">
      <c r="A60" s="28">
        <v>56.0</v>
      </c>
      <c r="B60" s="28" t="s">
        <v>530</v>
      </c>
      <c r="C60" s="29" t="s">
        <v>532</v>
      </c>
      <c r="D60" s="29" t="s">
        <v>90</v>
      </c>
      <c r="E60" s="29" t="s">
        <v>533</v>
      </c>
      <c r="F60" s="29" t="s">
        <v>534</v>
      </c>
      <c r="G60" s="29" t="s">
        <v>536</v>
      </c>
      <c r="H60" s="29" t="s">
        <v>537</v>
      </c>
      <c r="I60" s="29" t="s">
        <v>538</v>
      </c>
      <c r="J60" s="29" t="s">
        <v>539</v>
      </c>
      <c r="K60" s="29" t="s">
        <v>541</v>
      </c>
      <c r="L60" s="28" t="s">
        <v>44</v>
      </c>
      <c r="M60" s="28" t="s">
        <v>31</v>
      </c>
      <c r="N60" s="29" t="s">
        <v>44</v>
      </c>
      <c r="O60" s="29" t="s">
        <v>45</v>
      </c>
      <c r="P60" s="29"/>
      <c r="Q60" s="9"/>
      <c r="R60" s="9"/>
      <c r="S60" s="9"/>
      <c r="T60" s="9"/>
      <c r="U60" s="9"/>
      <c r="V60" s="9"/>
      <c r="W60" s="9"/>
      <c r="X60" s="9"/>
      <c r="Y60" s="9"/>
    </row>
    <row r="61" ht="15.75" customHeight="1">
      <c r="A61" s="25">
        <v>57.0</v>
      </c>
      <c r="B61" s="25" t="s">
        <v>1246</v>
      </c>
      <c r="C61" s="27" t="s">
        <v>190</v>
      </c>
      <c r="D61" s="27" t="s">
        <v>90</v>
      </c>
      <c r="E61" s="27" t="s">
        <v>1247</v>
      </c>
      <c r="F61" s="27" t="s">
        <v>1250</v>
      </c>
      <c r="G61" s="27" t="s">
        <v>1252</v>
      </c>
      <c r="H61" s="27" t="s">
        <v>1256</v>
      </c>
      <c r="I61" s="27" t="s">
        <v>1260</v>
      </c>
      <c r="J61" s="27" t="s">
        <v>1264</v>
      </c>
      <c r="K61" s="27" t="s">
        <v>1266</v>
      </c>
      <c r="L61" s="25" t="s">
        <v>30</v>
      </c>
      <c r="M61" s="25" t="s">
        <v>31</v>
      </c>
      <c r="N61" s="27" t="s">
        <v>30</v>
      </c>
      <c r="O61" s="27" t="s">
        <v>32</v>
      </c>
      <c r="P61" s="27"/>
      <c r="Q61" s="9"/>
      <c r="R61" s="9"/>
      <c r="S61" s="9"/>
      <c r="T61" s="9"/>
      <c r="U61" s="9"/>
      <c r="V61" s="9"/>
      <c r="W61" s="9"/>
      <c r="X61" s="9"/>
      <c r="Y61" s="9"/>
    </row>
    <row r="62" ht="15.75" hidden="1" customHeight="1">
      <c r="A62" s="28">
        <v>58.0</v>
      </c>
      <c r="B62" s="28" t="s">
        <v>1276</v>
      </c>
      <c r="C62" s="28" t="s">
        <v>907</v>
      </c>
      <c r="D62" s="28" t="s">
        <v>90</v>
      </c>
      <c r="E62" s="28" t="s">
        <v>1277</v>
      </c>
      <c r="F62" s="28" t="s">
        <v>1278</v>
      </c>
      <c r="G62" s="28" t="s">
        <v>1279</v>
      </c>
      <c r="H62" s="28" t="s">
        <v>1285</v>
      </c>
      <c r="I62" s="28" t="s">
        <v>1289</v>
      </c>
      <c r="J62" s="28" t="s">
        <v>1292</v>
      </c>
      <c r="K62" s="28" t="s">
        <v>1293</v>
      </c>
      <c r="L62" s="28" t="s">
        <v>98</v>
      </c>
      <c r="M62" s="28" t="s">
        <v>31</v>
      </c>
      <c r="N62" s="29" t="s">
        <v>98</v>
      </c>
      <c r="O62" s="29" t="s">
        <v>33</v>
      </c>
      <c r="P62" s="29" t="s">
        <v>98</v>
      </c>
      <c r="Q62" s="9"/>
      <c r="R62" s="9"/>
      <c r="S62" s="9"/>
      <c r="T62" s="9"/>
      <c r="U62" s="9"/>
      <c r="V62" s="9"/>
      <c r="W62" s="9"/>
      <c r="X62" s="9"/>
      <c r="Y62" s="9"/>
    </row>
    <row r="63" ht="15.75" hidden="1" customHeight="1">
      <c r="A63" s="25">
        <v>59.0</v>
      </c>
      <c r="B63" s="25" t="s">
        <v>1306</v>
      </c>
      <c r="C63" s="27" t="s">
        <v>599</v>
      </c>
      <c r="D63" s="27" t="s">
        <v>90</v>
      </c>
      <c r="E63" s="27" t="s">
        <v>1307</v>
      </c>
      <c r="F63" s="27" t="s">
        <v>1308</v>
      </c>
      <c r="G63" s="27" t="s">
        <v>1309</v>
      </c>
      <c r="H63" s="27" t="s">
        <v>1310</v>
      </c>
      <c r="I63" s="27" t="s">
        <v>1311</v>
      </c>
      <c r="J63" s="27" t="s">
        <v>1312</v>
      </c>
      <c r="K63" s="27" t="s">
        <v>1313</v>
      </c>
      <c r="L63" s="25" t="s">
        <v>44</v>
      </c>
      <c r="M63" s="25" t="s">
        <v>31</v>
      </c>
      <c r="N63" s="27" t="s">
        <v>44</v>
      </c>
      <c r="O63" s="27" t="s">
        <v>45</v>
      </c>
      <c r="P63" s="27"/>
      <c r="Q63" s="9"/>
      <c r="R63" s="9"/>
      <c r="S63" s="9"/>
      <c r="T63" s="9"/>
      <c r="U63" s="9"/>
      <c r="V63" s="9"/>
      <c r="W63" s="9"/>
      <c r="X63" s="9"/>
      <c r="Y63" s="9"/>
    </row>
    <row r="64" ht="15.75" customHeight="1">
      <c r="A64" s="28">
        <v>60.0</v>
      </c>
      <c r="B64" s="28" t="s">
        <v>566</v>
      </c>
      <c r="C64" s="29" t="s">
        <v>568</v>
      </c>
      <c r="D64" s="29" t="s">
        <v>90</v>
      </c>
      <c r="E64" s="29" t="s">
        <v>571</v>
      </c>
      <c r="F64" s="29" t="s">
        <v>572</v>
      </c>
      <c r="G64" s="29" t="s">
        <v>573</v>
      </c>
      <c r="H64" s="29" t="s">
        <v>574</v>
      </c>
      <c r="I64" s="29" t="s">
        <v>576</v>
      </c>
      <c r="J64" s="29" t="s">
        <v>578</v>
      </c>
      <c r="K64" s="29" t="s">
        <v>579</v>
      </c>
      <c r="L64" s="28" t="s">
        <v>44</v>
      </c>
      <c r="M64" s="28" t="s">
        <v>31</v>
      </c>
      <c r="N64" s="29" t="s">
        <v>44</v>
      </c>
      <c r="O64" s="29" t="s">
        <v>32</v>
      </c>
      <c r="P64" s="29"/>
      <c r="Q64" s="9"/>
      <c r="R64" s="9"/>
      <c r="S64" s="9"/>
      <c r="T64" s="9"/>
      <c r="U64" s="9"/>
      <c r="V64" s="9"/>
      <c r="W64" s="9"/>
      <c r="X64" s="9"/>
      <c r="Y64" s="9"/>
    </row>
    <row r="65" ht="15.75" hidden="1" customHeight="1">
      <c r="A65" s="25">
        <v>61.0</v>
      </c>
      <c r="B65" s="25" t="s">
        <v>598</v>
      </c>
      <c r="C65" s="27" t="s">
        <v>599</v>
      </c>
      <c r="D65" s="27" t="s">
        <v>90</v>
      </c>
      <c r="E65" s="27" t="s">
        <v>601</v>
      </c>
      <c r="F65" s="27" t="s">
        <v>603</v>
      </c>
      <c r="G65" s="27" t="s">
        <v>605</v>
      </c>
      <c r="H65" s="27" t="s">
        <v>608</v>
      </c>
      <c r="I65" s="27" t="s">
        <v>609</v>
      </c>
      <c r="J65" s="27" t="s">
        <v>610</v>
      </c>
      <c r="K65" s="27" t="s">
        <v>611</v>
      </c>
      <c r="L65" s="25" t="s">
        <v>30</v>
      </c>
      <c r="M65" s="25" t="s">
        <v>31</v>
      </c>
      <c r="N65" s="27" t="s">
        <v>30</v>
      </c>
      <c r="O65" s="27" t="s">
        <v>33</v>
      </c>
      <c r="P65" s="27" t="s">
        <v>30</v>
      </c>
      <c r="Q65" s="9"/>
      <c r="R65" s="9"/>
      <c r="S65" s="9"/>
      <c r="T65" s="9"/>
      <c r="U65" s="9"/>
      <c r="V65" s="9"/>
      <c r="W65" s="9"/>
      <c r="X65" s="9"/>
      <c r="Y65" s="9"/>
    </row>
    <row r="66" ht="15.75" hidden="1" customHeight="1">
      <c r="A66" s="28">
        <v>62.0</v>
      </c>
      <c r="B66" s="28" t="s">
        <v>616</v>
      </c>
      <c r="C66" s="29" t="s">
        <v>415</v>
      </c>
      <c r="D66" s="29" t="s">
        <v>90</v>
      </c>
      <c r="E66" s="29" t="s">
        <v>619</v>
      </c>
      <c r="F66" s="29" t="s">
        <v>620</v>
      </c>
      <c r="G66" s="29" t="s">
        <v>621</v>
      </c>
      <c r="H66" s="29" t="s">
        <v>622</v>
      </c>
      <c r="I66" s="29" t="s">
        <v>623</v>
      </c>
      <c r="J66" s="29" t="s">
        <v>624</v>
      </c>
      <c r="K66" s="29" t="s">
        <v>625</v>
      </c>
      <c r="L66" s="28" t="s">
        <v>44</v>
      </c>
      <c r="M66" s="28" t="s">
        <v>31</v>
      </c>
      <c r="N66" s="29" t="s">
        <v>44</v>
      </c>
      <c r="O66" s="29" t="s">
        <v>45</v>
      </c>
      <c r="P66" s="29"/>
      <c r="Q66" s="9"/>
      <c r="R66" s="9"/>
      <c r="S66" s="9"/>
      <c r="T66" s="9"/>
      <c r="U66" s="9"/>
      <c r="V66" s="9"/>
      <c r="W66" s="9"/>
      <c r="X66" s="9"/>
      <c r="Y66" s="9"/>
    </row>
    <row r="67" ht="15.75" customHeight="1">
      <c r="A67" s="25">
        <v>63.0</v>
      </c>
      <c r="B67" s="25" t="s">
        <v>1405</v>
      </c>
      <c r="C67" s="27" t="s">
        <v>1406</v>
      </c>
      <c r="D67" s="27" t="s">
        <v>90</v>
      </c>
      <c r="E67" s="27" t="s">
        <v>1409</v>
      </c>
      <c r="F67" s="27" t="s">
        <v>1412</v>
      </c>
      <c r="G67" s="27" t="s">
        <v>1414</v>
      </c>
      <c r="H67" s="27" t="s">
        <v>1418</v>
      </c>
      <c r="I67" s="27" t="s">
        <v>1422</v>
      </c>
      <c r="J67" s="27" t="s">
        <v>1424</v>
      </c>
      <c r="K67" s="27" t="s">
        <v>1426</v>
      </c>
      <c r="L67" s="25" t="s">
        <v>56</v>
      </c>
      <c r="M67" s="25" t="s">
        <v>31</v>
      </c>
      <c r="N67" s="27" t="s">
        <v>56</v>
      </c>
      <c r="O67" s="27" t="s">
        <v>32</v>
      </c>
      <c r="P67" s="27"/>
      <c r="Q67" s="9"/>
      <c r="R67" s="9"/>
      <c r="S67" s="9"/>
      <c r="T67" s="9"/>
      <c r="U67" s="9"/>
      <c r="V67" s="9"/>
      <c r="W67" s="9"/>
      <c r="X67" s="9"/>
      <c r="Y67" s="9"/>
    </row>
    <row r="68" ht="15.75" hidden="1" customHeight="1">
      <c r="A68" s="28">
        <v>64.0</v>
      </c>
      <c r="B68" s="28" t="s">
        <v>631</v>
      </c>
      <c r="C68" s="29" t="s">
        <v>633</v>
      </c>
      <c r="D68" s="29" t="s">
        <v>90</v>
      </c>
      <c r="E68" s="29" t="s">
        <v>634</v>
      </c>
      <c r="F68" s="29" t="s">
        <v>635</v>
      </c>
      <c r="G68" s="29" t="s">
        <v>636</v>
      </c>
      <c r="H68" s="29" t="s">
        <v>637</v>
      </c>
      <c r="I68" s="29" t="s">
        <v>638</v>
      </c>
      <c r="J68" s="29" t="s">
        <v>639</v>
      </c>
      <c r="K68" s="29" t="s">
        <v>641</v>
      </c>
      <c r="L68" s="28" t="s">
        <v>44</v>
      </c>
      <c r="M68" s="28" t="s">
        <v>31</v>
      </c>
      <c r="N68" s="29" t="s">
        <v>44</v>
      </c>
      <c r="O68" s="29" t="s">
        <v>33</v>
      </c>
      <c r="P68" s="29" t="s">
        <v>44</v>
      </c>
      <c r="Q68" s="9"/>
      <c r="R68" s="9"/>
      <c r="S68" s="9"/>
      <c r="T68" s="9"/>
      <c r="U68" s="9"/>
      <c r="V68" s="9"/>
      <c r="W68" s="9"/>
      <c r="X68" s="9"/>
      <c r="Y68" s="9"/>
    </row>
    <row r="69" ht="15.75" hidden="1" customHeight="1">
      <c r="A69" s="25">
        <v>65.0</v>
      </c>
      <c r="B69" s="25" t="s">
        <v>647</v>
      </c>
      <c r="C69" s="27" t="s">
        <v>648</v>
      </c>
      <c r="D69" s="27" t="s">
        <v>90</v>
      </c>
      <c r="E69" s="27" t="s">
        <v>649</v>
      </c>
      <c r="F69" s="27" t="s">
        <v>650</v>
      </c>
      <c r="G69" s="27" t="s">
        <v>651</v>
      </c>
      <c r="H69" s="27" t="s">
        <v>652</v>
      </c>
      <c r="I69" s="27" t="s">
        <v>653</v>
      </c>
      <c r="J69" s="27" t="s">
        <v>654</v>
      </c>
      <c r="K69" s="27" t="s">
        <v>655</v>
      </c>
      <c r="L69" s="25" t="s">
        <v>30</v>
      </c>
      <c r="M69" s="25" t="s">
        <v>31</v>
      </c>
      <c r="N69" s="27" t="s">
        <v>44</v>
      </c>
      <c r="O69" s="27" t="s">
        <v>45</v>
      </c>
      <c r="P69" s="27"/>
      <c r="Q69" s="9"/>
      <c r="R69" s="9"/>
      <c r="S69" s="9"/>
      <c r="T69" s="9"/>
      <c r="U69" s="9"/>
      <c r="V69" s="9"/>
      <c r="W69" s="9"/>
      <c r="X69" s="9"/>
      <c r="Y69" s="9"/>
    </row>
    <row r="70" ht="15.75" customHeight="1">
      <c r="A70" s="28">
        <v>66.0</v>
      </c>
      <c r="B70" s="28" t="s">
        <v>156</v>
      </c>
      <c r="C70" s="29" t="s">
        <v>157</v>
      </c>
      <c r="D70" s="29" t="s">
        <v>90</v>
      </c>
      <c r="E70" s="29" t="s">
        <v>158</v>
      </c>
      <c r="F70" s="29" t="s">
        <v>159</v>
      </c>
      <c r="G70" s="29" t="s">
        <v>160</v>
      </c>
      <c r="H70" s="29" t="s">
        <v>161</v>
      </c>
      <c r="I70" s="29" t="s">
        <v>162</v>
      </c>
      <c r="J70" s="29" t="s">
        <v>163</v>
      </c>
      <c r="K70" s="29" t="s">
        <v>164</v>
      </c>
      <c r="L70" s="28" t="s">
        <v>30</v>
      </c>
      <c r="M70" s="28" t="s">
        <v>31</v>
      </c>
      <c r="N70" s="29" t="s">
        <v>30</v>
      </c>
      <c r="O70" s="29" t="s">
        <v>32</v>
      </c>
      <c r="P70" s="29"/>
      <c r="Q70" s="9"/>
      <c r="R70" s="9"/>
      <c r="S70" s="9"/>
      <c r="T70" s="9"/>
      <c r="U70" s="9"/>
      <c r="V70" s="9"/>
      <c r="W70" s="9"/>
      <c r="X70" s="9"/>
      <c r="Y70" s="9"/>
    </row>
    <row r="71" ht="15.75" hidden="1" customHeight="1">
      <c r="A71" s="25">
        <v>67.0</v>
      </c>
      <c r="B71" s="25" t="s">
        <v>1524</v>
      </c>
      <c r="C71" s="27" t="s">
        <v>1527</v>
      </c>
      <c r="D71" s="27" t="s">
        <v>90</v>
      </c>
      <c r="E71" s="27" t="s">
        <v>1532</v>
      </c>
      <c r="F71" s="27" t="s">
        <v>1536</v>
      </c>
      <c r="G71" s="27" t="s">
        <v>1537</v>
      </c>
      <c r="H71" s="27" t="s">
        <v>1538</v>
      </c>
      <c r="I71" s="27" t="s">
        <v>1539</v>
      </c>
      <c r="J71" s="27" t="s">
        <v>1540</v>
      </c>
      <c r="K71" s="27" t="s">
        <v>1541</v>
      </c>
      <c r="L71" s="25" t="s">
        <v>44</v>
      </c>
      <c r="M71" s="25" t="s">
        <v>31</v>
      </c>
      <c r="N71" s="27" t="s">
        <v>44</v>
      </c>
      <c r="O71" s="27" t="s">
        <v>33</v>
      </c>
      <c r="P71" s="27" t="s">
        <v>44</v>
      </c>
      <c r="Q71" s="9"/>
      <c r="R71" s="9"/>
      <c r="S71" s="9"/>
      <c r="T71" s="9"/>
      <c r="U71" s="9"/>
      <c r="V71" s="9"/>
      <c r="W71" s="9"/>
      <c r="X71" s="9"/>
      <c r="Y71" s="9"/>
    </row>
    <row r="72" ht="15.75" hidden="1" customHeight="1">
      <c r="A72" s="28">
        <v>68.0</v>
      </c>
      <c r="B72" s="28" t="s">
        <v>702</v>
      </c>
      <c r="C72" s="29" t="s">
        <v>704</v>
      </c>
      <c r="D72" s="29" t="s">
        <v>90</v>
      </c>
      <c r="E72" s="29" t="s">
        <v>706</v>
      </c>
      <c r="F72" s="29" t="s">
        <v>707</v>
      </c>
      <c r="G72" s="29" t="s">
        <v>708</v>
      </c>
      <c r="H72" s="29" t="s">
        <v>709</v>
      </c>
      <c r="I72" s="29" t="s">
        <v>710</v>
      </c>
      <c r="J72" s="29" t="s">
        <v>712</v>
      </c>
      <c r="K72" s="29" t="s">
        <v>655</v>
      </c>
      <c r="L72" s="28" t="s">
        <v>56</v>
      </c>
      <c r="M72" s="28" t="s">
        <v>31</v>
      </c>
      <c r="N72" s="29" t="s">
        <v>56</v>
      </c>
      <c r="O72" s="29" t="s">
        <v>45</v>
      </c>
      <c r="P72" s="29"/>
      <c r="Q72" s="9"/>
      <c r="R72" s="9"/>
      <c r="S72" s="9"/>
      <c r="T72" s="9"/>
      <c r="U72" s="9"/>
      <c r="V72" s="9"/>
      <c r="W72" s="9"/>
      <c r="X72" s="9"/>
      <c r="Y72" s="9"/>
    </row>
    <row r="73" ht="15.75" customHeight="1">
      <c r="A73" s="25">
        <v>69.0</v>
      </c>
      <c r="B73" s="25" t="s">
        <v>1555</v>
      </c>
      <c r="C73" s="27" t="s">
        <v>1556</v>
      </c>
      <c r="D73" s="27" t="s">
        <v>90</v>
      </c>
      <c r="E73" s="27" t="s">
        <v>1557</v>
      </c>
      <c r="F73" s="27" t="s">
        <v>1558</v>
      </c>
      <c r="G73" s="27" t="s">
        <v>1559</v>
      </c>
      <c r="H73" s="27" t="s">
        <v>1560</v>
      </c>
      <c r="I73" s="27" t="s">
        <v>1561</v>
      </c>
      <c r="J73" s="27" t="s">
        <v>1564</v>
      </c>
      <c r="K73" s="27" t="s">
        <v>1566</v>
      </c>
      <c r="L73" s="25" t="s">
        <v>44</v>
      </c>
      <c r="M73" s="25" t="s">
        <v>31</v>
      </c>
      <c r="N73" s="27" t="s">
        <v>44</v>
      </c>
      <c r="O73" s="27" t="s">
        <v>32</v>
      </c>
      <c r="P73" s="27"/>
      <c r="Q73" s="9"/>
      <c r="R73" s="9"/>
      <c r="S73" s="9"/>
      <c r="T73" s="9"/>
      <c r="U73" s="9"/>
      <c r="V73" s="9"/>
      <c r="W73" s="9"/>
      <c r="X73" s="9"/>
      <c r="Y73" s="9"/>
    </row>
    <row r="74" ht="15.75" hidden="1" customHeight="1">
      <c r="A74" s="28">
        <v>70.0</v>
      </c>
      <c r="B74" s="28" t="s">
        <v>718</v>
      </c>
      <c r="C74" s="29" t="s">
        <v>719</v>
      </c>
      <c r="D74" s="29" t="s">
        <v>90</v>
      </c>
      <c r="E74" s="29" t="s">
        <v>721</v>
      </c>
      <c r="F74" s="29" t="s">
        <v>723</v>
      </c>
      <c r="G74" s="29" t="s">
        <v>725</v>
      </c>
      <c r="H74" s="29" t="s">
        <v>729</v>
      </c>
      <c r="I74" s="29" t="s">
        <v>732</v>
      </c>
      <c r="J74" s="29" t="s">
        <v>734</v>
      </c>
      <c r="K74" s="29" t="s">
        <v>736</v>
      </c>
      <c r="L74" s="28" t="s">
        <v>30</v>
      </c>
      <c r="M74" s="28" t="s">
        <v>31</v>
      </c>
      <c r="N74" s="29" t="s">
        <v>30</v>
      </c>
      <c r="O74" s="29" t="s">
        <v>33</v>
      </c>
      <c r="P74" s="29" t="s">
        <v>30</v>
      </c>
      <c r="Q74" s="9"/>
      <c r="R74" s="9"/>
      <c r="S74" s="9"/>
      <c r="T74" s="9"/>
      <c r="U74" s="9"/>
      <c r="V74" s="9"/>
      <c r="W74" s="9"/>
      <c r="X74" s="9"/>
      <c r="Y74" s="9"/>
    </row>
    <row r="75" ht="15.75" hidden="1" customHeight="1">
      <c r="A75" s="25">
        <v>71.0</v>
      </c>
      <c r="B75" s="25" t="s">
        <v>747</v>
      </c>
      <c r="C75" s="27" t="s">
        <v>748</v>
      </c>
      <c r="D75" s="27" t="s">
        <v>90</v>
      </c>
      <c r="E75" s="27" t="s">
        <v>751</v>
      </c>
      <c r="F75" s="27" t="s">
        <v>753</v>
      </c>
      <c r="G75" s="27" t="s">
        <v>756</v>
      </c>
      <c r="H75" s="27" t="s">
        <v>757</v>
      </c>
      <c r="I75" s="27" t="s">
        <v>758</v>
      </c>
      <c r="J75" s="27" t="s">
        <v>759</v>
      </c>
      <c r="K75" s="27" t="s">
        <v>761</v>
      </c>
      <c r="L75" s="25" t="s">
        <v>30</v>
      </c>
      <c r="M75" s="25" t="s">
        <v>31</v>
      </c>
      <c r="N75" s="27" t="s">
        <v>30</v>
      </c>
      <c r="O75" s="27" t="s">
        <v>45</v>
      </c>
      <c r="P75" s="27"/>
      <c r="Q75" s="9"/>
      <c r="R75" s="9"/>
      <c r="S75" s="9"/>
      <c r="T75" s="9"/>
      <c r="U75" s="9"/>
      <c r="V75" s="9"/>
      <c r="W75" s="9"/>
      <c r="X75" s="9"/>
      <c r="Y75" s="9"/>
    </row>
    <row r="76" ht="15.75" hidden="1" customHeight="1">
      <c r="A76" s="28">
        <v>72.0</v>
      </c>
      <c r="B76" s="28" t="s">
        <v>779</v>
      </c>
      <c r="C76" s="29" t="s">
        <v>58</v>
      </c>
      <c r="D76" s="29" t="s">
        <v>783</v>
      </c>
      <c r="E76" s="29" t="s">
        <v>1603</v>
      </c>
      <c r="F76" s="29" t="s">
        <v>788</v>
      </c>
      <c r="G76" s="29" t="s">
        <v>789</v>
      </c>
      <c r="H76" s="29" t="s">
        <v>791</v>
      </c>
      <c r="I76" s="29" t="s">
        <v>793</v>
      </c>
      <c r="J76" s="29" t="s">
        <v>795</v>
      </c>
      <c r="K76" s="29"/>
      <c r="L76" s="28" t="s">
        <v>98</v>
      </c>
      <c r="M76" s="28" t="s">
        <v>33</v>
      </c>
      <c r="N76" s="29" t="s">
        <v>98</v>
      </c>
      <c r="O76" s="29" t="s">
        <v>45</v>
      </c>
      <c r="P76" s="29"/>
      <c r="Q76" s="9"/>
      <c r="R76" s="9"/>
      <c r="S76" s="9"/>
      <c r="T76" s="9"/>
      <c r="U76" s="9"/>
      <c r="V76" s="9"/>
      <c r="W76" s="9"/>
      <c r="X76" s="9"/>
      <c r="Y76" s="9"/>
    </row>
    <row r="77" ht="95.25" customHeight="1">
      <c r="A77" s="25">
        <v>73.0</v>
      </c>
      <c r="B77" s="25" t="s">
        <v>805</v>
      </c>
      <c r="C77" s="27" t="s">
        <v>806</v>
      </c>
      <c r="D77" s="27" t="s">
        <v>807</v>
      </c>
      <c r="E77" s="27" t="s">
        <v>808</v>
      </c>
      <c r="F77" s="27" t="s">
        <v>809</v>
      </c>
      <c r="G77" s="27" t="s">
        <v>810</v>
      </c>
      <c r="H77" s="27" t="s">
        <v>811</v>
      </c>
      <c r="I77" s="27" t="s">
        <v>812</v>
      </c>
      <c r="J77" s="27" t="s">
        <v>813</v>
      </c>
      <c r="K77" s="27" t="s">
        <v>814</v>
      </c>
      <c r="L77" s="25" t="s">
        <v>98</v>
      </c>
      <c r="M77" s="25" t="s">
        <v>33</v>
      </c>
      <c r="N77" s="27" t="s">
        <v>98</v>
      </c>
      <c r="O77" s="27" t="s">
        <v>32</v>
      </c>
      <c r="P77" s="27"/>
      <c r="Q77" s="9"/>
      <c r="R77" s="9"/>
      <c r="S77" s="9"/>
      <c r="T77" s="9"/>
      <c r="U77" s="9"/>
      <c r="V77" s="9"/>
      <c r="W77" s="9"/>
      <c r="X77" s="9"/>
      <c r="Y77" s="9"/>
    </row>
    <row r="78" ht="15.75" hidden="1" customHeight="1">
      <c r="A78" s="28">
        <v>74.0</v>
      </c>
      <c r="B78" s="28" t="s">
        <v>817</v>
      </c>
      <c r="C78" s="29" t="s">
        <v>818</v>
      </c>
      <c r="D78" s="29" t="s">
        <v>820</v>
      </c>
      <c r="E78" s="29" t="s">
        <v>821</v>
      </c>
      <c r="F78" s="29" t="s">
        <v>823</v>
      </c>
      <c r="G78" s="29" t="s">
        <v>825</v>
      </c>
      <c r="H78" s="29" t="s">
        <v>827</v>
      </c>
      <c r="I78" s="29" t="s">
        <v>830</v>
      </c>
      <c r="J78" s="29" t="s">
        <v>831</v>
      </c>
      <c r="K78" s="29" t="s">
        <v>832</v>
      </c>
      <c r="L78" s="28" t="s">
        <v>30</v>
      </c>
      <c r="M78" s="28" t="s">
        <v>33</v>
      </c>
      <c r="N78" s="29" t="s">
        <v>98</v>
      </c>
      <c r="O78" s="29" t="s">
        <v>31</v>
      </c>
      <c r="P78" s="29" t="s">
        <v>30</v>
      </c>
      <c r="Q78" s="9"/>
      <c r="R78" s="9"/>
      <c r="S78" s="9"/>
      <c r="T78" s="9"/>
      <c r="U78" s="9"/>
      <c r="V78" s="9"/>
      <c r="W78" s="9"/>
      <c r="X78" s="9"/>
      <c r="Y78" s="9"/>
    </row>
    <row r="79" ht="15.75" hidden="1" customHeight="1">
      <c r="A79" s="25">
        <v>75.0</v>
      </c>
      <c r="B79" s="25" t="s">
        <v>833</v>
      </c>
      <c r="C79" s="27" t="s">
        <v>834</v>
      </c>
      <c r="D79" s="27" t="s">
        <v>835</v>
      </c>
      <c r="E79" s="27" t="s">
        <v>836</v>
      </c>
      <c r="F79" s="27" t="s">
        <v>837</v>
      </c>
      <c r="G79" s="27" t="s">
        <v>838</v>
      </c>
      <c r="H79" s="27" t="s">
        <v>839</v>
      </c>
      <c r="I79" s="27" t="s">
        <v>840</v>
      </c>
      <c r="J79" s="27" t="s">
        <v>841</v>
      </c>
      <c r="K79" s="27" t="s">
        <v>842</v>
      </c>
      <c r="L79" s="25" t="s">
        <v>98</v>
      </c>
      <c r="M79" s="25" t="s">
        <v>33</v>
      </c>
      <c r="N79" s="27" t="s">
        <v>98</v>
      </c>
      <c r="O79" s="27" t="s">
        <v>45</v>
      </c>
      <c r="P79" s="27"/>
      <c r="Q79" s="9"/>
      <c r="R79" s="9"/>
      <c r="S79" s="9"/>
      <c r="T79" s="9"/>
      <c r="U79" s="9"/>
      <c r="V79" s="9"/>
      <c r="W79" s="9"/>
      <c r="X79" s="9"/>
      <c r="Y79" s="9"/>
    </row>
    <row r="80" ht="15.75" customHeight="1">
      <c r="A80" s="28">
        <v>76.0</v>
      </c>
      <c r="B80" s="28" t="s">
        <v>843</v>
      </c>
      <c r="C80" s="29" t="s">
        <v>844</v>
      </c>
      <c r="D80" s="29" t="s">
        <v>845</v>
      </c>
      <c r="E80" s="29" t="s">
        <v>846</v>
      </c>
      <c r="F80" s="29" t="s">
        <v>847</v>
      </c>
      <c r="G80" s="29" t="s">
        <v>848</v>
      </c>
      <c r="H80" s="29" t="s">
        <v>849</v>
      </c>
      <c r="I80" s="29" t="s">
        <v>850</v>
      </c>
      <c r="J80" s="29" t="s">
        <v>851</v>
      </c>
      <c r="K80" s="29" t="s">
        <v>852</v>
      </c>
      <c r="L80" s="28" t="s">
        <v>30</v>
      </c>
      <c r="M80" s="28" t="s">
        <v>33</v>
      </c>
      <c r="N80" s="29" t="s">
        <v>30</v>
      </c>
      <c r="O80" s="29" t="s">
        <v>32</v>
      </c>
      <c r="P80" s="29"/>
      <c r="Q80" s="9"/>
      <c r="R80" s="9"/>
      <c r="S80" s="9"/>
      <c r="T80" s="9"/>
      <c r="U80" s="9"/>
      <c r="V80" s="9"/>
      <c r="W80" s="9"/>
      <c r="X80" s="9"/>
      <c r="Y80" s="9"/>
    </row>
    <row r="81" ht="15.75" hidden="1" customHeight="1">
      <c r="A81" s="25">
        <v>77.0</v>
      </c>
      <c r="B81" s="25" t="s">
        <v>853</v>
      </c>
      <c r="C81" s="27" t="s">
        <v>854</v>
      </c>
      <c r="D81" s="27" t="s">
        <v>855</v>
      </c>
      <c r="E81" s="27" t="s">
        <v>856</v>
      </c>
      <c r="F81" s="27" t="s">
        <v>857</v>
      </c>
      <c r="G81" s="27" t="s">
        <v>858</v>
      </c>
      <c r="H81" s="27" t="s">
        <v>859</v>
      </c>
      <c r="I81" s="27" t="s">
        <v>860</v>
      </c>
      <c r="J81" s="27" t="s">
        <v>861</v>
      </c>
      <c r="K81" s="27" t="s">
        <v>862</v>
      </c>
      <c r="L81" s="25" t="s">
        <v>98</v>
      </c>
      <c r="M81" s="25" t="s">
        <v>33</v>
      </c>
      <c r="N81" s="27" t="s">
        <v>98</v>
      </c>
      <c r="O81" s="27" t="s">
        <v>31</v>
      </c>
      <c r="P81" s="27" t="s">
        <v>30</v>
      </c>
      <c r="Q81" s="9"/>
      <c r="R81" s="9"/>
      <c r="S81" s="9"/>
      <c r="T81" s="9"/>
      <c r="U81" s="9"/>
      <c r="V81" s="9"/>
      <c r="W81" s="9"/>
      <c r="X81" s="9"/>
      <c r="Y81" s="9"/>
    </row>
    <row r="82" ht="15.75" hidden="1" customHeight="1">
      <c r="A82" s="28">
        <v>78.0</v>
      </c>
      <c r="B82" s="28" t="s">
        <v>865</v>
      </c>
      <c r="C82" s="29" t="s">
        <v>867</v>
      </c>
      <c r="D82" s="29" t="s">
        <v>868</v>
      </c>
      <c r="E82" s="29" t="s">
        <v>870</v>
      </c>
      <c r="F82" s="29" t="s">
        <v>872</v>
      </c>
      <c r="G82" s="29" t="s">
        <v>873</v>
      </c>
      <c r="H82" s="29" t="s">
        <v>875</v>
      </c>
      <c r="I82" s="29" t="s">
        <v>876</v>
      </c>
      <c r="J82" s="29" t="s">
        <v>878</v>
      </c>
      <c r="K82" s="29" t="s">
        <v>879</v>
      </c>
      <c r="L82" s="28" t="s">
        <v>98</v>
      </c>
      <c r="M82" s="28" t="s">
        <v>33</v>
      </c>
      <c r="N82" s="29" t="s">
        <v>98</v>
      </c>
      <c r="O82" s="29" t="s">
        <v>45</v>
      </c>
      <c r="P82" s="29" t="s">
        <v>56</v>
      </c>
      <c r="Q82" s="9"/>
      <c r="R82" s="9"/>
      <c r="S82" s="9"/>
      <c r="T82" s="9"/>
      <c r="U82" s="9"/>
      <c r="V82" s="9"/>
      <c r="W82" s="9"/>
      <c r="X82" s="9"/>
      <c r="Y82" s="9"/>
    </row>
    <row r="83" ht="15.75" hidden="1" customHeight="1">
      <c r="A83" s="25">
        <v>79.0</v>
      </c>
      <c r="B83" s="25" t="s">
        <v>881</v>
      </c>
      <c r="C83" s="27" t="s">
        <v>882</v>
      </c>
      <c r="D83" s="27" t="s">
        <v>207</v>
      </c>
      <c r="E83" s="27" t="s">
        <v>883</v>
      </c>
      <c r="F83" s="27" t="s">
        <v>884</v>
      </c>
      <c r="G83" s="27" t="s">
        <v>885</v>
      </c>
      <c r="H83" s="27" t="s">
        <v>886</v>
      </c>
      <c r="I83" s="27" t="s">
        <v>887</v>
      </c>
      <c r="J83" s="27" t="s">
        <v>888</v>
      </c>
      <c r="K83" s="27" t="s">
        <v>889</v>
      </c>
      <c r="L83" s="25" t="s">
        <v>30</v>
      </c>
      <c r="M83" s="25" t="s">
        <v>31</v>
      </c>
      <c r="N83" s="27" t="s">
        <v>30</v>
      </c>
      <c r="O83" s="27" t="s">
        <v>33</v>
      </c>
      <c r="P83" s="27" t="s">
        <v>30</v>
      </c>
      <c r="Q83" s="9"/>
      <c r="R83" s="9"/>
      <c r="S83" s="9"/>
      <c r="T83" s="9"/>
      <c r="U83" s="9"/>
      <c r="V83" s="9"/>
      <c r="W83" s="9"/>
      <c r="X83" s="9"/>
      <c r="Y83" s="9"/>
    </row>
    <row r="84" ht="15.75" hidden="1" customHeight="1">
      <c r="A84" s="28">
        <v>80.0</v>
      </c>
      <c r="B84" s="28" t="s">
        <v>1593</v>
      </c>
      <c r="C84" s="29" t="s">
        <v>976</v>
      </c>
      <c r="D84" s="29" t="s">
        <v>207</v>
      </c>
      <c r="E84" s="29" t="s">
        <v>1594</v>
      </c>
      <c r="F84" s="29" t="s">
        <v>1595</v>
      </c>
      <c r="G84" s="29" t="s">
        <v>1596</v>
      </c>
      <c r="H84" s="29" t="s">
        <v>1597</v>
      </c>
      <c r="I84" s="29" t="s">
        <v>1598</v>
      </c>
      <c r="J84" s="29" t="s">
        <v>1599</v>
      </c>
      <c r="K84" s="29" t="s">
        <v>1600</v>
      </c>
      <c r="L84" s="28" t="s">
        <v>44</v>
      </c>
      <c r="M84" s="28" t="s">
        <v>31</v>
      </c>
      <c r="N84" s="29" t="s">
        <v>67</v>
      </c>
      <c r="O84" s="29" t="s">
        <v>45</v>
      </c>
      <c r="P84" s="29"/>
      <c r="Q84" s="9"/>
      <c r="R84" s="9"/>
      <c r="S84" s="9"/>
      <c r="T84" s="9"/>
      <c r="U84" s="9"/>
      <c r="V84" s="9"/>
      <c r="W84" s="9"/>
      <c r="X84" s="9"/>
      <c r="Y84" s="9"/>
    </row>
    <row r="85" ht="15.75" customHeight="1">
      <c r="A85" s="25">
        <v>81.0</v>
      </c>
      <c r="B85" s="25" t="s">
        <v>898</v>
      </c>
      <c r="C85" s="27" t="s">
        <v>899</v>
      </c>
      <c r="D85" s="27" t="s">
        <v>207</v>
      </c>
      <c r="E85" s="27" t="s">
        <v>900</v>
      </c>
      <c r="F85" s="27" t="s">
        <v>901</v>
      </c>
      <c r="G85" s="27" t="s">
        <v>902</v>
      </c>
      <c r="H85" s="27" t="s">
        <v>903</v>
      </c>
      <c r="I85" s="27" t="s">
        <v>904</v>
      </c>
      <c r="J85" s="27" t="s">
        <v>906</v>
      </c>
      <c r="K85" s="27" t="s">
        <v>908</v>
      </c>
      <c r="L85" s="25" t="s">
        <v>30</v>
      </c>
      <c r="M85" s="25" t="s">
        <v>31</v>
      </c>
      <c r="N85" s="27" t="s">
        <v>30</v>
      </c>
      <c r="O85" s="27" t="s">
        <v>32</v>
      </c>
      <c r="P85" s="27"/>
      <c r="Q85" s="9"/>
      <c r="R85" s="9"/>
      <c r="S85" s="9"/>
      <c r="T85" s="9"/>
      <c r="U85" s="9"/>
      <c r="V85" s="9"/>
      <c r="W85" s="9"/>
      <c r="X85" s="9"/>
      <c r="Y85" s="9"/>
    </row>
    <row r="86" ht="15.75" hidden="1" customHeight="1">
      <c r="A86" s="28">
        <v>82.0</v>
      </c>
      <c r="B86" s="28" t="s">
        <v>205</v>
      </c>
      <c r="C86" s="29" t="s">
        <v>206</v>
      </c>
      <c r="D86" s="29" t="s">
        <v>207</v>
      </c>
      <c r="E86" s="29" t="s">
        <v>208</v>
      </c>
      <c r="F86" s="29" t="s">
        <v>209</v>
      </c>
      <c r="G86" s="29" t="s">
        <v>210</v>
      </c>
      <c r="H86" s="29" t="s">
        <v>211</v>
      </c>
      <c r="I86" s="29" t="s">
        <v>212</v>
      </c>
      <c r="J86" s="29" t="s">
        <v>213</v>
      </c>
      <c r="K86" s="29" t="s">
        <v>214</v>
      </c>
      <c r="L86" s="28" t="s">
        <v>56</v>
      </c>
      <c r="M86" s="28" t="s">
        <v>31</v>
      </c>
      <c r="N86" s="29" t="s">
        <v>56</v>
      </c>
      <c r="O86" s="29" t="s">
        <v>33</v>
      </c>
      <c r="P86" s="29" t="s">
        <v>56</v>
      </c>
      <c r="Q86" s="9"/>
      <c r="R86" s="9"/>
      <c r="S86" s="9"/>
      <c r="T86" s="9"/>
      <c r="U86" s="9"/>
      <c r="V86" s="9"/>
      <c r="W86" s="9"/>
      <c r="X86" s="9"/>
      <c r="Y86" s="9"/>
    </row>
    <row r="87" ht="15.75" hidden="1" customHeight="1">
      <c r="A87" s="25">
        <v>83.0</v>
      </c>
      <c r="B87" s="25" t="s">
        <v>926</v>
      </c>
      <c r="C87" s="27" t="s">
        <v>927</v>
      </c>
      <c r="D87" s="27" t="s">
        <v>207</v>
      </c>
      <c r="E87" s="27" t="s">
        <v>928</v>
      </c>
      <c r="F87" s="27" t="s">
        <v>929</v>
      </c>
      <c r="G87" s="27" t="s">
        <v>930</v>
      </c>
      <c r="H87" s="27" t="s">
        <v>932</v>
      </c>
      <c r="I87" s="27" t="s">
        <v>933</v>
      </c>
      <c r="J87" s="27" t="s">
        <v>935</v>
      </c>
      <c r="K87" s="27" t="s">
        <v>937</v>
      </c>
      <c r="L87" s="25" t="s">
        <v>56</v>
      </c>
      <c r="M87" s="25" t="s">
        <v>31</v>
      </c>
      <c r="N87" s="27" t="s">
        <v>67</v>
      </c>
      <c r="O87" s="27" t="s">
        <v>45</v>
      </c>
      <c r="P87" s="27"/>
      <c r="Q87" s="9"/>
      <c r="R87" s="9"/>
      <c r="S87" s="9"/>
      <c r="T87" s="9"/>
      <c r="U87" s="9"/>
      <c r="V87" s="9"/>
      <c r="W87" s="9"/>
      <c r="X87" s="9"/>
      <c r="Y87" s="9"/>
    </row>
    <row r="88" ht="15.75" customHeight="1">
      <c r="A88" s="28">
        <v>84.0</v>
      </c>
      <c r="B88" s="28" t="s">
        <v>1601</v>
      </c>
      <c r="C88" s="29" t="s">
        <v>1602</v>
      </c>
      <c r="D88" s="29" t="s">
        <v>207</v>
      </c>
      <c r="E88" s="29" t="s">
        <v>1604</v>
      </c>
      <c r="F88" s="29" t="s">
        <v>1605</v>
      </c>
      <c r="G88" s="29" t="s">
        <v>1606</v>
      </c>
      <c r="H88" s="29" t="s">
        <v>1607</v>
      </c>
      <c r="I88" s="29" t="s">
        <v>1608</v>
      </c>
      <c r="J88" s="29" t="s">
        <v>1609</v>
      </c>
      <c r="K88" s="29" t="s">
        <v>1610</v>
      </c>
      <c r="L88" s="28" t="s">
        <v>56</v>
      </c>
      <c r="M88" s="28" t="s">
        <v>31</v>
      </c>
      <c r="N88" s="29" t="s">
        <v>56</v>
      </c>
      <c r="O88" s="29" t="s">
        <v>32</v>
      </c>
      <c r="P88" s="29"/>
      <c r="Q88" s="9"/>
      <c r="R88" s="9"/>
      <c r="S88" s="9"/>
      <c r="T88" s="9"/>
      <c r="U88" s="9"/>
      <c r="V88" s="9"/>
      <c r="W88" s="9"/>
      <c r="X88" s="9"/>
      <c r="Y88" s="9"/>
    </row>
    <row r="89" ht="15.75" hidden="1" customHeight="1">
      <c r="A89" s="25">
        <v>85.0</v>
      </c>
      <c r="B89" s="25" t="s">
        <v>950</v>
      </c>
      <c r="C89" s="27" t="s">
        <v>951</v>
      </c>
      <c r="D89" s="27" t="s">
        <v>207</v>
      </c>
      <c r="E89" s="27" t="s">
        <v>952</v>
      </c>
      <c r="F89" s="27" t="s">
        <v>953</v>
      </c>
      <c r="G89" s="27" t="s">
        <v>954</v>
      </c>
      <c r="H89" s="27" t="s">
        <v>955</v>
      </c>
      <c r="I89" s="27" t="s">
        <v>710</v>
      </c>
      <c r="J89" s="27" t="s">
        <v>956</v>
      </c>
      <c r="K89" s="27" t="s">
        <v>957</v>
      </c>
      <c r="L89" s="25" t="s">
        <v>56</v>
      </c>
      <c r="M89" s="25" t="s">
        <v>31</v>
      </c>
      <c r="N89" s="27" t="s">
        <v>56</v>
      </c>
      <c r="O89" s="27" t="s">
        <v>33</v>
      </c>
      <c r="P89" s="27" t="s">
        <v>56</v>
      </c>
      <c r="Q89" s="9"/>
      <c r="R89" s="9"/>
      <c r="S89" s="9"/>
      <c r="T89" s="9"/>
      <c r="U89" s="9"/>
      <c r="V89" s="9"/>
      <c r="W89" s="9"/>
      <c r="X89" s="9"/>
      <c r="Y89" s="9"/>
    </row>
    <row r="90" ht="15.75" hidden="1" customHeight="1">
      <c r="A90" s="28">
        <v>86.0</v>
      </c>
      <c r="B90" s="28" t="s">
        <v>958</v>
      </c>
      <c r="C90" s="29" t="s">
        <v>959</v>
      </c>
      <c r="D90" s="29" t="s">
        <v>207</v>
      </c>
      <c r="E90" s="29" t="s">
        <v>960</v>
      </c>
      <c r="F90" s="29" t="s">
        <v>961</v>
      </c>
      <c r="G90" s="29" t="s">
        <v>962</v>
      </c>
      <c r="H90" s="29" t="s">
        <v>963</v>
      </c>
      <c r="I90" s="29" t="s">
        <v>964</v>
      </c>
      <c r="J90" s="29" t="s">
        <v>965</v>
      </c>
      <c r="K90" s="29" t="s">
        <v>966</v>
      </c>
      <c r="L90" s="28" t="s">
        <v>56</v>
      </c>
      <c r="M90" s="28" t="s">
        <v>31</v>
      </c>
      <c r="N90" s="29" t="s">
        <v>56</v>
      </c>
      <c r="O90" s="29" t="s">
        <v>45</v>
      </c>
      <c r="P90" s="29"/>
      <c r="Q90" s="9"/>
      <c r="R90" s="9"/>
      <c r="S90" s="9"/>
      <c r="T90" s="9"/>
      <c r="U90" s="9"/>
      <c r="V90" s="9"/>
      <c r="W90" s="9"/>
      <c r="X90" s="9"/>
      <c r="Y90" s="9"/>
    </row>
    <row r="91" ht="15.75" customHeight="1">
      <c r="A91" s="25">
        <v>87.0</v>
      </c>
      <c r="B91" s="25" t="s">
        <v>251</v>
      </c>
      <c r="C91" s="27" t="s">
        <v>252</v>
      </c>
      <c r="D91" s="27" t="s">
        <v>207</v>
      </c>
      <c r="E91" s="27" t="s">
        <v>253</v>
      </c>
      <c r="F91" s="27" t="s">
        <v>254</v>
      </c>
      <c r="G91" s="27" t="s">
        <v>255</v>
      </c>
      <c r="H91" s="27" t="s">
        <v>256</v>
      </c>
      <c r="I91" s="27" t="s">
        <v>257</v>
      </c>
      <c r="J91" s="27" t="s">
        <v>258</v>
      </c>
      <c r="K91" s="27" t="s">
        <v>259</v>
      </c>
      <c r="L91" s="25" t="s">
        <v>56</v>
      </c>
      <c r="M91" s="25" t="s">
        <v>31</v>
      </c>
      <c r="N91" s="27" t="s">
        <v>56</v>
      </c>
      <c r="O91" s="27" t="s">
        <v>32</v>
      </c>
      <c r="P91" s="27"/>
      <c r="Q91" s="9"/>
      <c r="R91" s="9"/>
      <c r="S91" s="9"/>
      <c r="T91" s="9"/>
      <c r="U91" s="9"/>
      <c r="V91" s="9"/>
      <c r="W91" s="9"/>
      <c r="X91" s="9"/>
      <c r="Y91" s="9"/>
    </row>
    <row r="92" ht="15.75" hidden="1" customHeight="1">
      <c r="A92" s="28">
        <v>88.0</v>
      </c>
      <c r="B92" s="28" t="s">
        <v>975</v>
      </c>
      <c r="C92" s="29" t="s">
        <v>976</v>
      </c>
      <c r="D92" s="29" t="s">
        <v>207</v>
      </c>
      <c r="E92" s="29" t="s">
        <v>977</v>
      </c>
      <c r="F92" s="29" t="s">
        <v>978</v>
      </c>
      <c r="G92" s="29" t="s">
        <v>979</v>
      </c>
      <c r="H92" s="29" t="s">
        <v>980</v>
      </c>
      <c r="I92" s="29" t="s">
        <v>710</v>
      </c>
      <c r="J92" s="29" t="s">
        <v>981</v>
      </c>
      <c r="K92" s="29" t="s">
        <v>982</v>
      </c>
      <c r="L92" s="28" t="s">
        <v>56</v>
      </c>
      <c r="M92" s="28" t="s">
        <v>31</v>
      </c>
      <c r="N92" s="29" t="s">
        <v>67</v>
      </c>
      <c r="O92" s="29" t="s">
        <v>33</v>
      </c>
      <c r="P92" s="29" t="s">
        <v>67</v>
      </c>
      <c r="Q92" s="9"/>
      <c r="R92" s="9"/>
      <c r="S92" s="9"/>
      <c r="T92" s="9"/>
      <c r="U92" s="9"/>
      <c r="V92" s="9"/>
      <c r="W92" s="9"/>
      <c r="X92" s="9"/>
      <c r="Y92" s="9"/>
    </row>
    <row r="93" ht="15.75" hidden="1" customHeight="1">
      <c r="A93" s="25">
        <v>89.0</v>
      </c>
      <c r="B93" s="25" t="s">
        <v>983</v>
      </c>
      <c r="C93" s="27" t="s">
        <v>252</v>
      </c>
      <c r="D93" s="27" t="s">
        <v>207</v>
      </c>
      <c r="E93" s="27" t="s">
        <v>984</v>
      </c>
      <c r="F93" s="27" t="s">
        <v>985</v>
      </c>
      <c r="G93" s="27" t="s">
        <v>986</v>
      </c>
      <c r="H93" s="27" t="s">
        <v>987</v>
      </c>
      <c r="I93" s="27" t="s">
        <v>988</v>
      </c>
      <c r="J93" s="27" t="s">
        <v>989</v>
      </c>
      <c r="K93" s="27" t="s">
        <v>990</v>
      </c>
      <c r="L93" s="25" t="s">
        <v>44</v>
      </c>
      <c r="M93" s="25" t="s">
        <v>31</v>
      </c>
      <c r="N93" s="27" t="s">
        <v>44</v>
      </c>
      <c r="O93" s="27" t="s">
        <v>45</v>
      </c>
      <c r="P93" s="27"/>
      <c r="Q93" s="9"/>
      <c r="R93" s="9"/>
      <c r="S93" s="9"/>
      <c r="T93" s="9"/>
      <c r="U93" s="9"/>
      <c r="V93" s="9"/>
      <c r="W93" s="9"/>
      <c r="X93" s="9"/>
      <c r="Y93" s="9"/>
    </row>
    <row r="94" ht="15.75" customHeight="1">
      <c r="A94" s="28">
        <v>90.0</v>
      </c>
      <c r="B94" s="28" t="s">
        <v>1642</v>
      </c>
      <c r="C94" s="29" t="s">
        <v>1040</v>
      </c>
      <c r="D94" s="29" t="s">
        <v>128</v>
      </c>
      <c r="E94" s="29" t="s">
        <v>1644</v>
      </c>
      <c r="F94" s="29" t="s">
        <v>1645</v>
      </c>
      <c r="G94" s="29" t="s">
        <v>1646</v>
      </c>
      <c r="H94" s="29" t="s">
        <v>1647</v>
      </c>
      <c r="I94" s="29" t="s">
        <v>1648</v>
      </c>
      <c r="J94" s="29" t="s">
        <v>1649</v>
      </c>
      <c r="K94" s="29" t="s">
        <v>1650</v>
      </c>
      <c r="L94" s="28" t="s">
        <v>30</v>
      </c>
      <c r="M94" s="28" t="s">
        <v>31</v>
      </c>
      <c r="N94" s="29" t="s">
        <v>30</v>
      </c>
      <c r="O94" s="29" t="s">
        <v>32</v>
      </c>
      <c r="P94" s="29"/>
      <c r="Q94" s="9"/>
      <c r="R94" s="9"/>
      <c r="S94" s="9"/>
      <c r="T94" s="9"/>
      <c r="U94" s="9"/>
      <c r="V94" s="9"/>
      <c r="W94" s="9"/>
      <c r="X94" s="9"/>
      <c r="Y94" s="9"/>
    </row>
    <row r="95" ht="15.75" hidden="1" customHeight="1">
      <c r="A95" s="25">
        <v>91.0</v>
      </c>
      <c r="B95" s="25" t="s">
        <v>1000</v>
      </c>
      <c r="C95" s="27" t="s">
        <v>1001</v>
      </c>
      <c r="D95" s="27" t="s">
        <v>128</v>
      </c>
      <c r="E95" s="27" t="s">
        <v>1002</v>
      </c>
      <c r="F95" s="27" t="s">
        <v>1004</v>
      </c>
      <c r="G95" s="27" t="s">
        <v>1005</v>
      </c>
      <c r="H95" s="27" t="s">
        <v>1006</v>
      </c>
      <c r="I95" s="27" t="s">
        <v>710</v>
      </c>
      <c r="J95" s="27" t="s">
        <v>1007</v>
      </c>
      <c r="K95" s="27" t="s">
        <v>1009</v>
      </c>
      <c r="L95" s="25" t="s">
        <v>67</v>
      </c>
      <c r="M95" s="25" t="s">
        <v>31</v>
      </c>
      <c r="N95" s="27" t="s">
        <v>67</v>
      </c>
      <c r="O95" s="27" t="s">
        <v>33</v>
      </c>
      <c r="P95" s="27" t="s">
        <v>67</v>
      </c>
      <c r="Q95" s="9"/>
      <c r="R95" s="9"/>
      <c r="S95" s="9"/>
      <c r="T95" s="9"/>
      <c r="U95" s="9"/>
      <c r="V95" s="9"/>
      <c r="W95" s="9"/>
      <c r="X95" s="9"/>
      <c r="Y95" s="9"/>
    </row>
    <row r="96" ht="15.75" hidden="1" customHeight="1">
      <c r="A96" s="28">
        <v>92.0</v>
      </c>
      <c r="B96" s="28" t="s">
        <v>1011</v>
      </c>
      <c r="C96" s="29" t="s">
        <v>1012</v>
      </c>
      <c r="D96" s="29" t="s">
        <v>128</v>
      </c>
      <c r="E96" s="29" t="s">
        <v>1013</v>
      </c>
      <c r="F96" s="29" t="s">
        <v>1014</v>
      </c>
      <c r="G96" s="29" t="s">
        <v>1016</v>
      </c>
      <c r="H96" s="29" t="s">
        <v>1017</v>
      </c>
      <c r="I96" s="29" t="s">
        <v>1018</v>
      </c>
      <c r="J96" s="29" t="s">
        <v>1020</v>
      </c>
      <c r="K96" s="29" t="s">
        <v>1021</v>
      </c>
      <c r="L96" s="28" t="s">
        <v>30</v>
      </c>
      <c r="M96" s="28" t="s">
        <v>31</v>
      </c>
      <c r="N96" s="29" t="s">
        <v>30</v>
      </c>
      <c r="O96" s="29" t="s">
        <v>45</v>
      </c>
      <c r="P96" s="29"/>
      <c r="Q96" s="9"/>
      <c r="R96" s="9"/>
      <c r="S96" s="9"/>
      <c r="T96" s="9"/>
      <c r="U96" s="9"/>
      <c r="V96" s="9"/>
      <c r="W96" s="9"/>
      <c r="X96" s="9"/>
      <c r="Y96" s="9"/>
    </row>
    <row r="97" ht="15.75" customHeight="1">
      <c r="A97" s="25">
        <v>93.0</v>
      </c>
      <c r="B97" s="25" t="s">
        <v>1022</v>
      </c>
      <c r="C97" s="27" t="s">
        <v>1023</v>
      </c>
      <c r="D97" s="27" t="s">
        <v>128</v>
      </c>
      <c r="E97" s="27" t="s">
        <v>1024</v>
      </c>
      <c r="F97" s="27" t="s">
        <v>1025</v>
      </c>
      <c r="G97" s="27" t="s">
        <v>1027</v>
      </c>
      <c r="H97" s="27" t="s">
        <v>1029</v>
      </c>
      <c r="I97" s="27" t="s">
        <v>1030</v>
      </c>
      <c r="J97" s="27" t="s">
        <v>1031</v>
      </c>
      <c r="K97" s="27" t="s">
        <v>1032</v>
      </c>
      <c r="L97" s="25" t="s">
        <v>30</v>
      </c>
      <c r="M97" s="25" t="s">
        <v>31</v>
      </c>
      <c r="N97" s="27" t="s">
        <v>30</v>
      </c>
      <c r="O97" s="27" t="s">
        <v>32</v>
      </c>
      <c r="P97" s="27"/>
      <c r="Q97" s="9"/>
      <c r="R97" s="9"/>
      <c r="S97" s="9"/>
      <c r="T97" s="9"/>
      <c r="U97" s="9"/>
      <c r="V97" s="9"/>
      <c r="W97" s="9"/>
      <c r="X97" s="9"/>
      <c r="Y97" s="9"/>
    </row>
    <row r="98" ht="15.75" hidden="1" customHeight="1">
      <c r="A98" s="28">
        <v>94.0</v>
      </c>
      <c r="B98" s="28" t="s">
        <v>1659</v>
      </c>
      <c r="C98" s="29" t="s">
        <v>1660</v>
      </c>
      <c r="D98" s="29" t="s">
        <v>128</v>
      </c>
      <c r="E98" s="29" t="s">
        <v>1661</v>
      </c>
      <c r="F98" s="29" t="s">
        <v>1662</v>
      </c>
      <c r="G98" s="29" t="s">
        <v>1663</v>
      </c>
      <c r="H98" s="29" t="s">
        <v>1664</v>
      </c>
      <c r="I98" s="29" t="s">
        <v>1665</v>
      </c>
      <c r="J98" s="29" t="s">
        <v>1666</v>
      </c>
      <c r="K98" s="29" t="s">
        <v>1667</v>
      </c>
      <c r="L98" s="28" t="s">
        <v>30</v>
      </c>
      <c r="M98" s="28" t="s">
        <v>31</v>
      </c>
      <c r="N98" s="29" t="s">
        <v>30</v>
      </c>
      <c r="O98" s="29" t="s">
        <v>33</v>
      </c>
      <c r="P98" s="29" t="s">
        <v>30</v>
      </c>
      <c r="Q98" s="9"/>
      <c r="R98" s="9"/>
      <c r="S98" s="9"/>
      <c r="T98" s="9"/>
      <c r="U98" s="9"/>
      <c r="V98" s="9"/>
      <c r="W98" s="9"/>
      <c r="X98" s="9"/>
      <c r="Y98" s="9"/>
    </row>
    <row r="99" ht="15.75" hidden="1" customHeight="1">
      <c r="A99" s="25">
        <v>95.0</v>
      </c>
      <c r="B99" s="25" t="s">
        <v>1039</v>
      </c>
      <c r="C99" s="27" t="s">
        <v>1040</v>
      </c>
      <c r="D99" s="27" t="s">
        <v>128</v>
      </c>
      <c r="E99" s="27" t="s">
        <v>1041</v>
      </c>
      <c r="F99" s="27" t="s">
        <v>1042</v>
      </c>
      <c r="G99" s="27" t="s">
        <v>1043</v>
      </c>
      <c r="H99" s="27" t="s">
        <v>1044</v>
      </c>
      <c r="I99" s="27" t="s">
        <v>1045</v>
      </c>
      <c r="J99" s="27" t="s">
        <v>1046</v>
      </c>
      <c r="K99" s="27" t="s">
        <v>1047</v>
      </c>
      <c r="L99" s="25" t="s">
        <v>30</v>
      </c>
      <c r="M99" s="25" t="s">
        <v>31</v>
      </c>
      <c r="N99" s="27" t="s">
        <v>30</v>
      </c>
      <c r="O99" s="27" t="s">
        <v>45</v>
      </c>
      <c r="P99" s="27"/>
      <c r="Q99" s="9"/>
      <c r="R99" s="9"/>
      <c r="S99" s="9"/>
      <c r="T99" s="9"/>
      <c r="U99" s="9"/>
      <c r="V99" s="9"/>
      <c r="W99" s="9"/>
      <c r="X99" s="9"/>
      <c r="Y99" s="9"/>
    </row>
    <row r="100" ht="15.75" hidden="1" customHeight="1">
      <c r="A100" s="28">
        <v>96.0</v>
      </c>
      <c r="B100" s="28" t="s">
        <v>1048</v>
      </c>
      <c r="C100" s="29" t="s">
        <v>1049</v>
      </c>
      <c r="D100" s="29" t="s">
        <v>1050</v>
      </c>
      <c r="E100" s="29" t="s">
        <v>1051</v>
      </c>
      <c r="F100" s="29" t="s">
        <v>1052</v>
      </c>
      <c r="G100" s="29" t="s">
        <v>1053</v>
      </c>
      <c r="H100" s="29" t="s">
        <v>1054</v>
      </c>
      <c r="I100" s="29" t="s">
        <v>1055</v>
      </c>
      <c r="J100" s="29" t="s">
        <v>1056</v>
      </c>
      <c r="K100" s="29" t="s">
        <v>1057</v>
      </c>
      <c r="L100" s="28" t="s">
        <v>30</v>
      </c>
      <c r="M100" s="28"/>
      <c r="N100" s="29" t="s">
        <v>30</v>
      </c>
      <c r="O100" s="29" t="s">
        <v>45</v>
      </c>
      <c r="P100" s="29"/>
      <c r="Q100" s="9"/>
      <c r="R100" s="9"/>
      <c r="S100" s="9"/>
      <c r="T100" s="9"/>
      <c r="U100" s="9"/>
      <c r="V100" s="9"/>
      <c r="W100" s="9"/>
      <c r="X100" s="9"/>
      <c r="Y100" s="9"/>
    </row>
    <row r="101" ht="15.75" hidden="1" customHeight="1">
      <c r="A101" s="25">
        <v>97.0</v>
      </c>
      <c r="B101" s="25" t="s">
        <v>1048</v>
      </c>
      <c r="C101" s="27" t="s">
        <v>1063</v>
      </c>
      <c r="D101" s="27" t="s">
        <v>306</v>
      </c>
      <c r="E101" s="27" t="s">
        <v>1064</v>
      </c>
      <c r="F101" s="27" t="s">
        <v>1065</v>
      </c>
      <c r="G101" s="27" t="s">
        <v>1066</v>
      </c>
      <c r="H101" s="27" t="s">
        <v>1067</v>
      </c>
      <c r="I101" s="27" t="s">
        <v>1068</v>
      </c>
      <c r="J101" s="27" t="s">
        <v>1069</v>
      </c>
      <c r="K101" s="27" t="s">
        <v>1070</v>
      </c>
      <c r="L101" s="25" t="s">
        <v>56</v>
      </c>
      <c r="M101" s="25" t="s">
        <v>31</v>
      </c>
      <c r="N101" s="27" t="s">
        <v>56</v>
      </c>
      <c r="O101" s="27" t="s">
        <v>33</v>
      </c>
      <c r="P101" s="27" t="s">
        <v>56</v>
      </c>
      <c r="Q101" s="9"/>
      <c r="R101" s="9"/>
      <c r="S101" s="9"/>
      <c r="T101" s="9"/>
      <c r="U101" s="9"/>
      <c r="V101" s="9"/>
      <c r="W101" s="9"/>
      <c r="X101" s="9"/>
      <c r="Y101" s="9"/>
    </row>
    <row r="102" ht="15.75" customHeight="1">
      <c r="A102" s="28">
        <v>98.0</v>
      </c>
      <c r="B102" s="28" t="s">
        <v>1689</v>
      </c>
      <c r="C102" s="29" t="s">
        <v>1690</v>
      </c>
      <c r="D102" s="29" t="s">
        <v>306</v>
      </c>
      <c r="E102" s="29" t="s">
        <v>1691</v>
      </c>
      <c r="F102" s="29" t="s">
        <v>1692</v>
      </c>
      <c r="G102" s="29" t="s">
        <v>1693</v>
      </c>
      <c r="H102" s="29" t="s">
        <v>1694</v>
      </c>
      <c r="I102" s="29" t="s">
        <v>1695</v>
      </c>
      <c r="J102" s="29" t="s">
        <v>1696</v>
      </c>
      <c r="K102" s="29" t="s">
        <v>1698</v>
      </c>
      <c r="L102" s="28" t="s">
        <v>56</v>
      </c>
      <c r="M102" s="28" t="s">
        <v>31</v>
      </c>
      <c r="N102" s="29" t="s">
        <v>56</v>
      </c>
      <c r="O102" s="29" t="s">
        <v>32</v>
      </c>
      <c r="P102" s="29"/>
      <c r="Q102" s="9"/>
      <c r="R102" s="9"/>
      <c r="S102" s="9"/>
      <c r="T102" s="9"/>
      <c r="U102" s="9"/>
      <c r="V102" s="9"/>
      <c r="W102" s="9"/>
      <c r="X102" s="9"/>
      <c r="Y102" s="9"/>
    </row>
    <row r="103" ht="15.75" hidden="1" customHeight="1">
      <c r="A103" s="25">
        <v>99.0</v>
      </c>
      <c r="B103" s="25" t="s">
        <v>1085</v>
      </c>
      <c r="C103" s="25" t="s">
        <v>1086</v>
      </c>
      <c r="D103" s="25" t="s">
        <v>306</v>
      </c>
      <c r="E103" s="25" t="s">
        <v>1087</v>
      </c>
      <c r="F103" s="25" t="s">
        <v>1088</v>
      </c>
      <c r="G103" s="25" t="s">
        <v>1089</v>
      </c>
      <c r="H103" s="25" t="s">
        <v>1090</v>
      </c>
      <c r="I103" s="25" t="s">
        <v>1092</v>
      </c>
      <c r="J103" s="25" t="s">
        <v>1094</v>
      </c>
      <c r="K103" s="25" t="s">
        <v>1095</v>
      </c>
      <c r="L103" s="25" t="s">
        <v>44</v>
      </c>
      <c r="M103" s="25" t="s">
        <v>31</v>
      </c>
      <c r="N103" s="27" t="s">
        <v>44</v>
      </c>
      <c r="O103" s="27" t="s">
        <v>33</v>
      </c>
      <c r="P103" s="27" t="s">
        <v>44</v>
      </c>
      <c r="Q103" s="9"/>
      <c r="R103" s="9"/>
      <c r="S103" s="9"/>
      <c r="T103" s="9"/>
      <c r="U103" s="9"/>
      <c r="V103" s="9"/>
      <c r="W103" s="9"/>
      <c r="X103" s="9"/>
      <c r="Y103" s="9"/>
    </row>
    <row r="104" ht="15.75" hidden="1" customHeight="1">
      <c r="A104" s="28">
        <v>100.0</v>
      </c>
      <c r="B104" s="28" t="s">
        <v>1102</v>
      </c>
      <c r="C104" s="29" t="s">
        <v>1103</v>
      </c>
      <c r="D104" s="29" t="s">
        <v>306</v>
      </c>
      <c r="E104" s="29" t="s">
        <v>1104</v>
      </c>
      <c r="F104" s="29" t="s">
        <v>1105</v>
      </c>
      <c r="G104" s="29" t="s">
        <v>1106</v>
      </c>
      <c r="H104" s="29" t="s">
        <v>1107</v>
      </c>
      <c r="I104" s="29" t="s">
        <v>1108</v>
      </c>
      <c r="J104" s="29" t="s">
        <v>1109</v>
      </c>
      <c r="K104" s="29" t="s">
        <v>1110</v>
      </c>
      <c r="L104" s="28" t="s">
        <v>56</v>
      </c>
      <c r="M104" s="28" t="s">
        <v>31</v>
      </c>
      <c r="N104" s="29" t="s">
        <v>56</v>
      </c>
      <c r="O104" s="29" t="s">
        <v>45</v>
      </c>
      <c r="P104" s="29"/>
      <c r="Q104" s="9"/>
      <c r="R104" s="9"/>
      <c r="S104" s="9"/>
      <c r="T104" s="9"/>
      <c r="U104" s="9"/>
      <c r="V104" s="9"/>
      <c r="W104" s="9"/>
      <c r="X104" s="9"/>
      <c r="Y104" s="9"/>
    </row>
    <row r="105" ht="15.75" customHeight="1">
      <c r="A105" s="25">
        <v>101.0</v>
      </c>
      <c r="B105" s="25" t="s">
        <v>303</v>
      </c>
      <c r="C105" s="27" t="s">
        <v>304</v>
      </c>
      <c r="D105" s="27" t="s">
        <v>306</v>
      </c>
      <c r="E105" s="27" t="s">
        <v>307</v>
      </c>
      <c r="F105" s="27" t="s">
        <v>309</v>
      </c>
      <c r="G105" s="27" t="s">
        <v>310</v>
      </c>
      <c r="H105" s="27" t="s">
        <v>311</v>
      </c>
      <c r="I105" s="27" t="s">
        <v>313</v>
      </c>
      <c r="J105" s="27" t="s">
        <v>314</v>
      </c>
      <c r="K105" s="27" t="s">
        <v>316</v>
      </c>
      <c r="L105" s="25" t="s">
        <v>44</v>
      </c>
      <c r="M105" s="25" t="s">
        <v>31</v>
      </c>
      <c r="N105" s="27" t="s">
        <v>44</v>
      </c>
      <c r="O105" s="27" t="s">
        <v>32</v>
      </c>
      <c r="P105" s="27"/>
      <c r="Q105" s="9"/>
      <c r="R105" s="9"/>
      <c r="S105" s="9"/>
      <c r="T105" s="9"/>
      <c r="U105" s="9"/>
      <c r="V105" s="9"/>
      <c r="W105" s="9"/>
      <c r="X105" s="9"/>
      <c r="Y105" s="9"/>
    </row>
    <row r="106" ht="15.75" hidden="1" customHeight="1">
      <c r="A106" s="28">
        <v>102.0</v>
      </c>
      <c r="B106" s="28" t="s">
        <v>1114</v>
      </c>
      <c r="C106" s="29" t="s">
        <v>1115</v>
      </c>
      <c r="D106" s="29" t="s">
        <v>306</v>
      </c>
      <c r="E106" s="29" t="s">
        <v>1116</v>
      </c>
      <c r="F106" s="29" t="s">
        <v>1117</v>
      </c>
      <c r="G106" s="29" t="s">
        <v>1118</v>
      </c>
      <c r="H106" s="29" t="s">
        <v>1119</v>
      </c>
      <c r="I106" s="29" t="s">
        <v>1120</v>
      </c>
      <c r="J106" s="29" t="s">
        <v>1123</v>
      </c>
      <c r="K106" s="29" t="s">
        <v>1124</v>
      </c>
      <c r="L106" s="28" t="s">
        <v>56</v>
      </c>
      <c r="M106" s="28" t="s">
        <v>31</v>
      </c>
      <c r="N106" s="29" t="s">
        <v>67</v>
      </c>
      <c r="O106" s="29" t="s">
        <v>33</v>
      </c>
      <c r="P106" s="29" t="s">
        <v>67</v>
      </c>
      <c r="Q106" s="9"/>
      <c r="R106" s="9"/>
      <c r="S106" s="9"/>
      <c r="T106" s="9"/>
      <c r="U106" s="9"/>
      <c r="V106" s="9"/>
      <c r="W106" s="9"/>
      <c r="X106" s="9"/>
      <c r="Y106" s="9"/>
    </row>
    <row r="107" ht="15.75" hidden="1" customHeight="1">
      <c r="A107" s="25">
        <v>103.0</v>
      </c>
      <c r="B107" s="25" t="s">
        <v>1721</v>
      </c>
      <c r="C107" s="27" t="s">
        <v>1722</v>
      </c>
      <c r="D107" s="27" t="s">
        <v>1723</v>
      </c>
      <c r="E107" s="27" t="s">
        <v>1724</v>
      </c>
      <c r="F107" s="27" t="s">
        <v>1725</v>
      </c>
      <c r="G107" s="27" t="s">
        <v>1726</v>
      </c>
      <c r="H107" s="27" t="s">
        <v>1727</v>
      </c>
      <c r="I107" s="27" t="s">
        <v>1728</v>
      </c>
      <c r="J107" s="27" t="s">
        <v>1729</v>
      </c>
      <c r="K107" s="27" t="s">
        <v>1730</v>
      </c>
      <c r="L107" s="25" t="s">
        <v>56</v>
      </c>
      <c r="M107" s="25" t="s">
        <v>31</v>
      </c>
      <c r="N107" s="27" t="s">
        <v>56</v>
      </c>
      <c r="O107" s="27" t="s">
        <v>45</v>
      </c>
      <c r="P107" s="27"/>
      <c r="Q107" s="9"/>
      <c r="R107" s="9"/>
      <c r="S107" s="9"/>
      <c r="T107" s="9"/>
      <c r="U107" s="9"/>
      <c r="V107" s="9"/>
      <c r="W107" s="9"/>
      <c r="X107" s="9"/>
      <c r="Y107" s="9"/>
    </row>
    <row r="108" ht="15.75" customHeight="1">
      <c r="A108" s="28">
        <v>104.0</v>
      </c>
      <c r="B108" s="28" t="s">
        <v>1127</v>
      </c>
      <c r="C108" s="29" t="s">
        <v>1128</v>
      </c>
      <c r="D108" s="29" t="s">
        <v>1129</v>
      </c>
      <c r="E108" s="29" t="s">
        <v>1130</v>
      </c>
      <c r="F108" s="29" t="s">
        <v>1131</v>
      </c>
      <c r="G108" s="29" t="s">
        <v>1132</v>
      </c>
      <c r="H108" s="29" t="s">
        <v>1133</v>
      </c>
      <c r="I108" s="29" t="s">
        <v>1134</v>
      </c>
      <c r="J108" s="29" t="s">
        <v>1135</v>
      </c>
      <c r="K108" s="29" t="s">
        <v>1136</v>
      </c>
      <c r="L108" s="28" t="s">
        <v>44</v>
      </c>
      <c r="M108" s="28" t="s">
        <v>31</v>
      </c>
      <c r="N108" s="29" t="s">
        <v>44</v>
      </c>
      <c r="O108" s="29" t="s">
        <v>32</v>
      </c>
      <c r="P108" s="29"/>
      <c r="Q108" s="9"/>
      <c r="R108" s="9"/>
      <c r="S108" s="9"/>
      <c r="T108" s="9"/>
      <c r="U108" s="9"/>
      <c r="V108" s="9"/>
      <c r="W108" s="9"/>
      <c r="X108" s="9"/>
      <c r="Y108" s="9"/>
    </row>
    <row r="109" ht="15.75" hidden="1" customHeight="1">
      <c r="A109" s="25">
        <v>105.0</v>
      </c>
      <c r="B109" s="25" t="s">
        <v>1145</v>
      </c>
      <c r="C109" s="27" t="s">
        <v>1146</v>
      </c>
      <c r="D109" s="27" t="s">
        <v>1148</v>
      </c>
      <c r="E109" s="27" t="s">
        <v>1149</v>
      </c>
      <c r="F109" s="27" t="s">
        <v>1150</v>
      </c>
      <c r="G109" s="27" t="s">
        <v>1151</v>
      </c>
      <c r="H109" s="27" t="s">
        <v>1152</v>
      </c>
      <c r="I109" s="27" t="s">
        <v>1154</v>
      </c>
      <c r="J109" s="27" t="s">
        <v>1155</v>
      </c>
      <c r="K109" s="27" t="s">
        <v>1157</v>
      </c>
      <c r="L109" s="25" t="s">
        <v>56</v>
      </c>
      <c r="M109" s="25" t="s">
        <v>31</v>
      </c>
      <c r="N109" s="27" t="s">
        <v>67</v>
      </c>
      <c r="O109" s="27" t="s">
        <v>33</v>
      </c>
      <c r="P109" s="27" t="s">
        <v>67</v>
      </c>
      <c r="Q109" s="9"/>
      <c r="R109" s="9"/>
      <c r="S109" s="9"/>
      <c r="T109" s="9"/>
      <c r="U109" s="9"/>
      <c r="V109" s="9"/>
      <c r="W109" s="9"/>
      <c r="X109" s="9"/>
      <c r="Y109" s="9"/>
    </row>
    <row r="110" ht="15.75" hidden="1" customHeight="1">
      <c r="A110" s="28">
        <v>106.0</v>
      </c>
      <c r="B110" s="28" t="s">
        <v>1158</v>
      </c>
      <c r="C110" s="29" t="s">
        <v>1159</v>
      </c>
      <c r="D110" s="29" t="s">
        <v>1148</v>
      </c>
      <c r="E110" s="29" t="s">
        <v>1160</v>
      </c>
      <c r="F110" s="29" t="s">
        <v>1161</v>
      </c>
      <c r="G110" s="29" t="s">
        <v>1162</v>
      </c>
      <c r="H110" s="29" t="s">
        <v>1163</v>
      </c>
      <c r="I110" s="29" t="s">
        <v>1164</v>
      </c>
      <c r="J110" s="29" t="s">
        <v>1165</v>
      </c>
      <c r="K110" s="29" t="s">
        <v>1166</v>
      </c>
      <c r="L110" s="28" t="s">
        <v>56</v>
      </c>
      <c r="M110" s="28" t="s">
        <v>31</v>
      </c>
      <c r="N110" s="29" t="s">
        <v>67</v>
      </c>
      <c r="O110" s="29" t="s">
        <v>45</v>
      </c>
      <c r="P110" s="29"/>
      <c r="Q110" s="9"/>
      <c r="R110" s="9"/>
      <c r="S110" s="9"/>
      <c r="T110" s="9"/>
      <c r="U110" s="9"/>
      <c r="V110" s="9"/>
      <c r="W110" s="9"/>
      <c r="X110" s="9"/>
      <c r="Y110" s="9"/>
    </row>
    <row r="111" ht="15.75" customHeight="1">
      <c r="A111" s="25">
        <v>107.0</v>
      </c>
      <c r="B111" s="25" t="s">
        <v>1848</v>
      </c>
      <c r="C111" s="27" t="s">
        <v>1849</v>
      </c>
      <c r="D111" s="27" t="s">
        <v>1148</v>
      </c>
      <c r="E111" s="27" t="s">
        <v>1850</v>
      </c>
      <c r="F111" s="27" t="s">
        <v>1851</v>
      </c>
      <c r="G111" s="27" t="s">
        <v>1852</v>
      </c>
      <c r="H111" s="27" t="s">
        <v>1853</v>
      </c>
      <c r="I111" s="27" t="s">
        <v>1854</v>
      </c>
      <c r="J111" s="27" t="s">
        <v>1855</v>
      </c>
      <c r="K111" s="27" t="s">
        <v>1856</v>
      </c>
      <c r="L111" s="25" t="s">
        <v>56</v>
      </c>
      <c r="M111" s="25" t="s">
        <v>31</v>
      </c>
      <c r="N111" s="27" t="s">
        <v>56</v>
      </c>
      <c r="O111" s="27" t="s">
        <v>32</v>
      </c>
      <c r="P111" s="27"/>
      <c r="Q111" s="9"/>
      <c r="R111" s="9"/>
      <c r="S111" s="9"/>
      <c r="T111" s="9"/>
      <c r="U111" s="9"/>
      <c r="V111" s="9"/>
      <c r="W111" s="9"/>
      <c r="X111" s="9"/>
      <c r="Y111" s="9"/>
    </row>
    <row r="112" ht="15.75" hidden="1" customHeight="1">
      <c r="A112" s="28">
        <v>108.0</v>
      </c>
      <c r="B112" s="28" t="s">
        <v>1169</v>
      </c>
      <c r="C112" s="29" t="s">
        <v>1170</v>
      </c>
      <c r="D112" s="29" t="s">
        <v>1171</v>
      </c>
      <c r="E112" s="29" t="s">
        <v>1172</v>
      </c>
      <c r="F112" s="29" t="s">
        <v>1175</v>
      </c>
      <c r="G112" s="29" t="s">
        <v>1176</v>
      </c>
      <c r="H112" s="29" t="s">
        <v>1177</v>
      </c>
      <c r="I112" s="29" t="s">
        <v>1178</v>
      </c>
      <c r="J112" s="29" t="s">
        <v>1179</v>
      </c>
      <c r="K112" s="29" t="s">
        <v>1180</v>
      </c>
      <c r="L112" s="28" t="s">
        <v>56</v>
      </c>
      <c r="M112" s="28" t="s">
        <v>31</v>
      </c>
      <c r="N112" s="29" t="s">
        <v>67</v>
      </c>
      <c r="O112" s="29" t="s">
        <v>33</v>
      </c>
      <c r="P112" s="29" t="s">
        <v>67</v>
      </c>
      <c r="Q112" s="9"/>
      <c r="R112" s="9"/>
      <c r="S112" s="9"/>
      <c r="T112" s="9"/>
      <c r="U112" s="9"/>
      <c r="V112" s="9"/>
      <c r="W112" s="9"/>
      <c r="X112" s="9"/>
      <c r="Y112" s="9"/>
    </row>
    <row r="113" ht="15.75" hidden="1" customHeight="1">
      <c r="A113" s="25">
        <v>109.0</v>
      </c>
      <c r="B113" s="25" t="s">
        <v>1865</v>
      </c>
      <c r="C113" s="27" t="s">
        <v>1866</v>
      </c>
      <c r="D113" s="27" t="s">
        <v>1171</v>
      </c>
      <c r="E113" s="27" t="s">
        <v>1867</v>
      </c>
      <c r="F113" s="27" t="s">
        <v>1868</v>
      </c>
      <c r="G113" s="27" t="s">
        <v>1869</v>
      </c>
      <c r="H113" s="27" t="s">
        <v>1870</v>
      </c>
      <c r="I113" s="27" t="s">
        <v>1871</v>
      </c>
      <c r="J113" s="27" t="s">
        <v>1872</v>
      </c>
      <c r="K113" s="27" t="s">
        <v>1873</v>
      </c>
      <c r="L113" s="25" t="s">
        <v>67</v>
      </c>
      <c r="M113" s="25" t="s">
        <v>31</v>
      </c>
      <c r="N113" s="27" t="s">
        <v>67</v>
      </c>
      <c r="O113" s="27" t="s">
        <v>45</v>
      </c>
      <c r="P113" s="27"/>
      <c r="Q113" s="9"/>
      <c r="R113" s="9"/>
      <c r="S113" s="9"/>
      <c r="T113" s="9"/>
      <c r="U113" s="9"/>
      <c r="V113" s="9"/>
      <c r="W113" s="9"/>
      <c r="X113" s="9"/>
      <c r="Y113" s="9"/>
    </row>
    <row r="114" ht="15.75" customHeight="1">
      <c r="A114" s="28">
        <v>110.0</v>
      </c>
      <c r="B114" s="28" t="s">
        <v>1183</v>
      </c>
      <c r="C114" s="29" t="s">
        <v>1184</v>
      </c>
      <c r="D114" s="29" t="s">
        <v>1185</v>
      </c>
      <c r="E114" s="29" t="s">
        <v>1186</v>
      </c>
      <c r="F114" s="29" t="s">
        <v>1187</v>
      </c>
      <c r="G114" s="29" t="s">
        <v>1188</v>
      </c>
      <c r="H114" s="29" t="s">
        <v>1189</v>
      </c>
      <c r="I114" s="29" t="s">
        <v>1190</v>
      </c>
      <c r="J114" s="29" t="s">
        <v>1193</v>
      </c>
      <c r="K114" s="29" t="s">
        <v>1194</v>
      </c>
      <c r="L114" s="28" t="s">
        <v>30</v>
      </c>
      <c r="M114" s="28" t="s">
        <v>31</v>
      </c>
      <c r="N114" s="29" t="s">
        <v>30</v>
      </c>
      <c r="O114" s="29" t="s">
        <v>32</v>
      </c>
      <c r="P114" s="29"/>
      <c r="Q114" s="9"/>
      <c r="R114" s="9"/>
      <c r="S114" s="9"/>
      <c r="T114" s="9"/>
      <c r="U114" s="9"/>
      <c r="V114" s="9"/>
      <c r="W114" s="9"/>
      <c r="X114" s="9"/>
      <c r="Y114" s="9"/>
    </row>
    <row r="115" ht="15.75" hidden="1" customHeight="1">
      <c r="A115" s="25">
        <v>111.0</v>
      </c>
      <c r="B115" s="25" t="s">
        <v>1197</v>
      </c>
      <c r="C115" s="27" t="s">
        <v>1198</v>
      </c>
      <c r="D115" s="27" t="s">
        <v>1185</v>
      </c>
      <c r="E115" s="27" t="s">
        <v>1199</v>
      </c>
      <c r="F115" s="27" t="s">
        <v>1200</v>
      </c>
      <c r="G115" s="27" t="s">
        <v>1201</v>
      </c>
      <c r="H115" s="27" t="s">
        <v>1202</v>
      </c>
      <c r="I115" s="27" t="s">
        <v>1203</v>
      </c>
      <c r="J115" s="27" t="s">
        <v>1204</v>
      </c>
      <c r="K115" s="27" t="s">
        <v>1205</v>
      </c>
      <c r="L115" s="25" t="s">
        <v>56</v>
      </c>
      <c r="M115" s="25" t="s">
        <v>31</v>
      </c>
      <c r="N115" s="27" t="s">
        <v>56</v>
      </c>
      <c r="O115" s="27" t="s">
        <v>33</v>
      </c>
      <c r="P115" s="27" t="s">
        <v>44</v>
      </c>
      <c r="Q115" s="9"/>
      <c r="R115" s="9"/>
      <c r="S115" s="9"/>
      <c r="T115" s="9"/>
      <c r="U115" s="9"/>
      <c r="V115" s="9"/>
      <c r="W115" s="9"/>
      <c r="X115" s="9"/>
      <c r="Y115" s="9"/>
    </row>
    <row r="116" ht="15.75" hidden="1" customHeight="1">
      <c r="A116" s="28">
        <v>112.0</v>
      </c>
      <c r="B116" s="28" t="s">
        <v>1206</v>
      </c>
      <c r="C116" s="29" t="s">
        <v>1207</v>
      </c>
      <c r="D116" s="29" t="s">
        <v>1185</v>
      </c>
      <c r="E116" s="29" t="s">
        <v>1208</v>
      </c>
      <c r="F116" s="29" t="s">
        <v>1209</v>
      </c>
      <c r="G116" s="29" t="s">
        <v>1210</v>
      </c>
      <c r="H116" s="29" t="s">
        <v>1211</v>
      </c>
      <c r="I116" s="29" t="s">
        <v>1212</v>
      </c>
      <c r="J116" s="29" t="s">
        <v>1213</v>
      </c>
      <c r="K116" s="29" t="s">
        <v>1214</v>
      </c>
      <c r="L116" s="28" t="s">
        <v>67</v>
      </c>
      <c r="M116" s="28" t="s">
        <v>31</v>
      </c>
      <c r="N116" s="29" t="s">
        <v>67</v>
      </c>
      <c r="O116" s="29" t="s">
        <v>45</v>
      </c>
      <c r="P116" s="29"/>
      <c r="Q116" s="9"/>
      <c r="R116" s="9"/>
      <c r="S116" s="9"/>
      <c r="T116" s="9"/>
      <c r="U116" s="9"/>
      <c r="V116" s="9"/>
      <c r="W116" s="9"/>
      <c r="X116" s="9"/>
      <c r="Y116" s="9"/>
    </row>
    <row r="117" ht="15.75" hidden="1" customHeight="1">
      <c r="A117" s="25">
        <v>113.0</v>
      </c>
      <c r="B117" s="25" t="s">
        <v>1876</v>
      </c>
      <c r="C117" s="27" t="s">
        <v>1877</v>
      </c>
      <c r="D117" s="27" t="s">
        <v>1185</v>
      </c>
      <c r="E117" s="27" t="s">
        <v>1878</v>
      </c>
      <c r="F117" s="27" t="s">
        <v>1879</v>
      </c>
      <c r="G117" s="27" t="s">
        <v>1880</v>
      </c>
      <c r="H117" s="27" t="s">
        <v>1881</v>
      </c>
      <c r="I117" s="27" t="s">
        <v>1882</v>
      </c>
      <c r="J117" s="27" t="s">
        <v>1883</v>
      </c>
      <c r="K117" s="27" t="s">
        <v>1884</v>
      </c>
      <c r="L117" s="25" t="s">
        <v>30</v>
      </c>
      <c r="M117" s="25"/>
      <c r="N117" s="27" t="s">
        <v>56</v>
      </c>
      <c r="O117" s="27" t="s">
        <v>45</v>
      </c>
      <c r="P117" s="27"/>
      <c r="Q117" s="9"/>
      <c r="R117" s="9"/>
      <c r="S117" s="9"/>
      <c r="T117" s="9"/>
      <c r="U117" s="9"/>
      <c r="V117" s="9"/>
      <c r="W117" s="9"/>
      <c r="X117" s="9"/>
      <c r="Y117" s="9"/>
    </row>
    <row r="118" ht="15.75" hidden="1" customHeight="1">
      <c r="A118" s="28">
        <v>114.0</v>
      </c>
      <c r="B118" s="28" t="s">
        <v>1215</v>
      </c>
      <c r="C118" s="29" t="s">
        <v>1216</v>
      </c>
      <c r="D118" s="29" t="s">
        <v>346</v>
      </c>
      <c r="E118" s="29" t="s">
        <v>1217</v>
      </c>
      <c r="F118" s="29" t="s">
        <v>1218</v>
      </c>
      <c r="G118" s="29" t="s">
        <v>1219</v>
      </c>
      <c r="H118" s="29" t="s">
        <v>1220</v>
      </c>
      <c r="I118" s="29" t="s">
        <v>1221</v>
      </c>
      <c r="J118" s="29" t="s">
        <v>1222</v>
      </c>
      <c r="K118" s="29" t="s">
        <v>1223</v>
      </c>
      <c r="L118" s="28" t="s">
        <v>30</v>
      </c>
      <c r="M118" s="28" t="s">
        <v>31</v>
      </c>
      <c r="N118" s="29" t="s">
        <v>30</v>
      </c>
      <c r="O118" s="29" t="s">
        <v>33</v>
      </c>
      <c r="P118" s="29" t="s">
        <v>30</v>
      </c>
      <c r="Q118" s="9"/>
      <c r="R118" s="9"/>
      <c r="S118" s="9"/>
      <c r="T118" s="9"/>
      <c r="U118" s="9"/>
      <c r="V118" s="9"/>
      <c r="W118" s="9"/>
      <c r="X118" s="9"/>
      <c r="Y118" s="9"/>
    </row>
    <row r="119" ht="15.75" hidden="1" customHeight="1">
      <c r="A119" s="25">
        <v>115.0</v>
      </c>
      <c r="B119" s="25" t="s">
        <v>1227</v>
      </c>
      <c r="C119" s="27" t="s">
        <v>345</v>
      </c>
      <c r="D119" s="27" t="s">
        <v>346</v>
      </c>
      <c r="E119" s="27" t="s">
        <v>1229</v>
      </c>
      <c r="F119" s="27" t="s">
        <v>1230</v>
      </c>
      <c r="G119" s="27" t="s">
        <v>1231</v>
      </c>
      <c r="H119" s="27" t="s">
        <v>1233</v>
      </c>
      <c r="I119" s="27" t="s">
        <v>1234</v>
      </c>
      <c r="J119" s="27" t="s">
        <v>1236</v>
      </c>
      <c r="K119" s="27" t="s">
        <v>1237</v>
      </c>
      <c r="L119" s="25" t="s">
        <v>56</v>
      </c>
      <c r="M119" s="25" t="s">
        <v>31</v>
      </c>
      <c r="N119" s="27" t="s">
        <v>56</v>
      </c>
      <c r="O119" s="27" t="s">
        <v>45</v>
      </c>
      <c r="P119" s="27"/>
      <c r="Q119" s="9"/>
      <c r="R119" s="9"/>
      <c r="S119" s="9"/>
      <c r="T119" s="9"/>
      <c r="U119" s="9"/>
      <c r="V119" s="9"/>
      <c r="W119" s="9"/>
      <c r="X119" s="9"/>
      <c r="Y119" s="9"/>
    </row>
    <row r="120" ht="15.75" customHeight="1">
      <c r="A120" s="28">
        <v>116.0</v>
      </c>
      <c r="B120" s="28" t="s">
        <v>1238</v>
      </c>
      <c r="C120" s="29" t="s">
        <v>1216</v>
      </c>
      <c r="D120" s="29" t="s">
        <v>346</v>
      </c>
      <c r="E120" s="29" t="s">
        <v>1239</v>
      </c>
      <c r="F120" s="29" t="s">
        <v>1240</v>
      </c>
      <c r="G120" s="29" t="s">
        <v>1241</v>
      </c>
      <c r="H120" s="29" t="s">
        <v>1242</v>
      </c>
      <c r="I120" s="29" t="s">
        <v>1243</v>
      </c>
      <c r="J120" s="29" t="s">
        <v>1244</v>
      </c>
      <c r="K120" s="29" t="s">
        <v>1245</v>
      </c>
      <c r="L120" s="28" t="s">
        <v>44</v>
      </c>
      <c r="M120" s="28" t="s">
        <v>31</v>
      </c>
      <c r="N120" s="29" t="s">
        <v>44</v>
      </c>
      <c r="O120" s="29" t="s">
        <v>32</v>
      </c>
      <c r="P120" s="29"/>
      <c r="Q120" s="9"/>
      <c r="R120" s="9"/>
      <c r="S120" s="9"/>
      <c r="T120" s="9"/>
      <c r="U120" s="9"/>
      <c r="V120" s="9"/>
      <c r="W120" s="9"/>
      <c r="X120" s="9"/>
      <c r="Y120" s="9"/>
    </row>
    <row r="121" ht="15.75" hidden="1" customHeight="1">
      <c r="A121" s="25">
        <v>117.0</v>
      </c>
      <c r="B121" s="25" t="s">
        <v>1906</v>
      </c>
      <c r="C121" s="27" t="s">
        <v>1907</v>
      </c>
      <c r="D121" s="27" t="s">
        <v>346</v>
      </c>
      <c r="E121" s="27" t="s">
        <v>1908</v>
      </c>
      <c r="F121" s="27" t="s">
        <v>1909</v>
      </c>
      <c r="G121" s="27" t="s">
        <v>1910</v>
      </c>
      <c r="H121" s="27" t="s">
        <v>1911</v>
      </c>
      <c r="I121" s="27" t="s">
        <v>1912</v>
      </c>
      <c r="J121" s="27" t="s">
        <v>1913</v>
      </c>
      <c r="K121" s="27" t="s">
        <v>1914</v>
      </c>
      <c r="L121" s="25" t="s">
        <v>56</v>
      </c>
      <c r="M121" s="25" t="s">
        <v>31</v>
      </c>
      <c r="N121" s="27" t="s">
        <v>56</v>
      </c>
      <c r="O121" s="27" t="s">
        <v>33</v>
      </c>
      <c r="P121" s="27" t="s">
        <v>56</v>
      </c>
      <c r="Q121" s="9"/>
      <c r="R121" s="9"/>
      <c r="S121" s="9"/>
      <c r="T121" s="9"/>
      <c r="U121" s="9"/>
      <c r="V121" s="9"/>
      <c r="W121" s="9"/>
      <c r="X121" s="9"/>
      <c r="Y121" s="9"/>
    </row>
    <row r="122" ht="15.75" hidden="1" customHeight="1">
      <c r="A122" s="28">
        <v>118.0</v>
      </c>
      <c r="B122" s="28" t="s">
        <v>1254</v>
      </c>
      <c r="C122" s="29" t="s">
        <v>1255</v>
      </c>
      <c r="D122" s="29" t="s">
        <v>346</v>
      </c>
      <c r="E122" s="29" t="s">
        <v>1257</v>
      </c>
      <c r="F122" s="29" t="s">
        <v>1258</v>
      </c>
      <c r="G122" s="29" t="s">
        <v>1259</v>
      </c>
      <c r="H122" s="29" t="s">
        <v>1261</v>
      </c>
      <c r="I122" s="29" t="s">
        <v>1262</v>
      </c>
      <c r="J122" s="29" t="s">
        <v>1263</v>
      </c>
      <c r="K122" s="29" t="s">
        <v>1265</v>
      </c>
      <c r="L122" s="28" t="s">
        <v>44</v>
      </c>
      <c r="M122" s="28" t="s">
        <v>31</v>
      </c>
      <c r="N122" s="29" t="s">
        <v>44</v>
      </c>
      <c r="O122" s="29" t="s">
        <v>45</v>
      </c>
      <c r="P122" s="29"/>
      <c r="Q122" s="9"/>
      <c r="R122" s="9"/>
      <c r="S122" s="9"/>
      <c r="T122" s="9"/>
      <c r="U122" s="9"/>
      <c r="V122" s="9"/>
      <c r="W122" s="9"/>
      <c r="X122" s="9"/>
      <c r="Y122" s="9"/>
    </row>
    <row r="123" ht="15.75" customHeight="1">
      <c r="A123" s="25">
        <v>119.0</v>
      </c>
      <c r="B123" s="25" t="s">
        <v>1267</v>
      </c>
      <c r="C123" s="27" t="s">
        <v>1268</v>
      </c>
      <c r="D123" s="27" t="s">
        <v>346</v>
      </c>
      <c r="E123" s="27" t="s">
        <v>1269</v>
      </c>
      <c r="F123" s="27" t="s">
        <v>1270</v>
      </c>
      <c r="G123" s="27" t="s">
        <v>1271</v>
      </c>
      <c r="H123" s="27" t="s">
        <v>1272</v>
      </c>
      <c r="I123" s="27" t="s">
        <v>1273</v>
      </c>
      <c r="J123" s="27" t="s">
        <v>1274</v>
      </c>
      <c r="K123" s="27" t="s">
        <v>1275</v>
      </c>
      <c r="L123" s="25" t="s">
        <v>56</v>
      </c>
      <c r="M123" s="25" t="s">
        <v>31</v>
      </c>
      <c r="N123" s="27" t="s">
        <v>98</v>
      </c>
      <c r="O123" s="27" t="s">
        <v>32</v>
      </c>
      <c r="P123" s="27"/>
      <c r="Q123" s="9"/>
      <c r="R123" s="9"/>
      <c r="S123" s="9"/>
      <c r="T123" s="9"/>
      <c r="U123" s="9"/>
      <c r="V123" s="9"/>
      <c r="W123" s="9"/>
      <c r="X123" s="9"/>
      <c r="Y123" s="9"/>
    </row>
    <row r="124" ht="15.75" hidden="1" customHeight="1">
      <c r="A124" s="28">
        <v>120.0</v>
      </c>
      <c r="B124" s="28" t="s">
        <v>344</v>
      </c>
      <c r="C124" s="29" t="s">
        <v>345</v>
      </c>
      <c r="D124" s="29" t="s">
        <v>346</v>
      </c>
      <c r="E124" s="29" t="s">
        <v>347</v>
      </c>
      <c r="F124" s="29" t="s">
        <v>348</v>
      </c>
      <c r="G124" s="29" t="s">
        <v>349</v>
      </c>
      <c r="H124" s="29" t="s">
        <v>350</v>
      </c>
      <c r="I124" s="29" t="s">
        <v>351</v>
      </c>
      <c r="J124" s="29" t="s">
        <v>352</v>
      </c>
      <c r="K124" s="29" t="s">
        <v>353</v>
      </c>
      <c r="L124" s="28" t="s">
        <v>44</v>
      </c>
      <c r="M124" s="28" t="s">
        <v>31</v>
      </c>
      <c r="N124" s="29" t="s">
        <v>67</v>
      </c>
      <c r="O124" s="29" t="s">
        <v>33</v>
      </c>
      <c r="P124" s="29" t="s">
        <v>44</v>
      </c>
      <c r="Q124" s="9"/>
      <c r="R124" s="9"/>
      <c r="S124" s="9"/>
      <c r="T124" s="9"/>
      <c r="U124" s="9"/>
      <c r="V124" s="9"/>
      <c r="W124" s="9"/>
      <c r="X124" s="9"/>
      <c r="Y124" s="9"/>
    </row>
    <row r="125" ht="15.75" hidden="1" customHeight="1">
      <c r="A125" s="25">
        <v>121.0</v>
      </c>
      <c r="B125" s="25" t="s">
        <v>1280</v>
      </c>
      <c r="C125" s="27" t="s">
        <v>345</v>
      </c>
      <c r="D125" s="27" t="s">
        <v>346</v>
      </c>
      <c r="E125" s="27" t="s">
        <v>1281</v>
      </c>
      <c r="F125" s="27" t="s">
        <v>1282</v>
      </c>
      <c r="G125" s="27" t="s">
        <v>1283</v>
      </c>
      <c r="H125" s="27" t="s">
        <v>1284</v>
      </c>
      <c r="I125" s="27" t="s">
        <v>1286</v>
      </c>
      <c r="J125" s="27" t="s">
        <v>1287</v>
      </c>
      <c r="K125" s="27" t="s">
        <v>1288</v>
      </c>
      <c r="L125" s="25" t="s">
        <v>56</v>
      </c>
      <c r="M125" s="25" t="s">
        <v>31</v>
      </c>
      <c r="N125" s="27" t="s">
        <v>44</v>
      </c>
      <c r="O125" s="27" t="s">
        <v>45</v>
      </c>
      <c r="P125" s="27"/>
      <c r="Q125" s="9"/>
      <c r="R125" s="9"/>
      <c r="S125" s="9"/>
      <c r="T125" s="9"/>
      <c r="U125" s="9"/>
      <c r="V125" s="9"/>
      <c r="W125" s="9"/>
      <c r="X125" s="9"/>
      <c r="Y125" s="9"/>
    </row>
    <row r="126" ht="15.75" customHeight="1">
      <c r="A126" s="28">
        <v>122.0</v>
      </c>
      <c r="B126" s="28" t="s">
        <v>1925</v>
      </c>
      <c r="C126" s="29" t="s">
        <v>1926</v>
      </c>
      <c r="D126" s="29" t="s">
        <v>1298</v>
      </c>
      <c r="E126" s="29" t="s">
        <v>1927</v>
      </c>
      <c r="F126" s="29" t="s">
        <v>1928</v>
      </c>
      <c r="G126" s="29" t="s">
        <v>1929</v>
      </c>
      <c r="H126" s="29" t="s">
        <v>1930</v>
      </c>
      <c r="I126" s="29" t="s">
        <v>1931</v>
      </c>
      <c r="J126" s="29" t="s">
        <v>1932</v>
      </c>
      <c r="K126" s="29" t="s">
        <v>1933</v>
      </c>
      <c r="L126" s="28" t="s">
        <v>98</v>
      </c>
      <c r="M126" s="28" t="s">
        <v>31</v>
      </c>
      <c r="N126" s="29" t="s">
        <v>30</v>
      </c>
      <c r="O126" s="29" t="s">
        <v>32</v>
      </c>
      <c r="P126" s="29"/>
      <c r="Q126" s="9"/>
      <c r="R126" s="9"/>
      <c r="S126" s="9"/>
      <c r="T126" s="9"/>
      <c r="U126" s="9"/>
      <c r="V126" s="9"/>
      <c r="W126" s="9"/>
      <c r="X126" s="9"/>
      <c r="Y126" s="9"/>
    </row>
    <row r="127" ht="15.75" hidden="1" customHeight="1">
      <c r="A127" s="25">
        <v>123.0</v>
      </c>
      <c r="B127" s="25" t="s">
        <v>1296</v>
      </c>
      <c r="C127" s="27" t="s">
        <v>1297</v>
      </c>
      <c r="D127" s="27" t="s">
        <v>1298</v>
      </c>
      <c r="E127" s="27" t="s">
        <v>1299</v>
      </c>
      <c r="F127" s="27" t="s">
        <v>1300</v>
      </c>
      <c r="G127" s="27" t="s">
        <v>1301</v>
      </c>
      <c r="H127" s="27" t="s">
        <v>1302</v>
      </c>
      <c r="I127" s="27" t="s">
        <v>1303</v>
      </c>
      <c r="J127" s="27" t="s">
        <v>1304</v>
      </c>
      <c r="K127" s="27" t="s">
        <v>1305</v>
      </c>
      <c r="L127" s="25" t="s">
        <v>30</v>
      </c>
      <c r="M127" s="25" t="s">
        <v>31</v>
      </c>
      <c r="N127" s="27" t="s">
        <v>98</v>
      </c>
      <c r="O127" s="27" t="s">
        <v>33</v>
      </c>
      <c r="P127" s="27" t="s">
        <v>98</v>
      </c>
      <c r="Q127" s="9"/>
      <c r="R127" s="9"/>
      <c r="S127" s="9"/>
      <c r="T127" s="9"/>
      <c r="U127" s="9"/>
      <c r="V127" s="9"/>
      <c r="W127" s="9"/>
      <c r="X127" s="9"/>
      <c r="Y127" s="9"/>
    </row>
    <row r="128" ht="15.75" hidden="1" customHeight="1">
      <c r="A128" s="28">
        <v>124.0</v>
      </c>
      <c r="B128" s="28" t="s">
        <v>2259</v>
      </c>
      <c r="C128" s="29" t="s">
        <v>345</v>
      </c>
      <c r="D128" s="29" t="s">
        <v>1298</v>
      </c>
      <c r="E128" s="29" t="s">
        <v>2260</v>
      </c>
      <c r="F128" s="29" t="s">
        <v>2261</v>
      </c>
      <c r="G128" s="29" t="s">
        <v>2262</v>
      </c>
      <c r="H128" s="29" t="s">
        <v>2263</v>
      </c>
      <c r="I128" s="29" t="s">
        <v>2264</v>
      </c>
      <c r="J128" s="29" t="s">
        <v>2265</v>
      </c>
      <c r="K128" s="29" t="s">
        <v>2266</v>
      </c>
      <c r="L128" s="28" t="s">
        <v>30</v>
      </c>
      <c r="M128" s="28" t="s">
        <v>31</v>
      </c>
      <c r="N128" s="29" t="s">
        <v>56</v>
      </c>
      <c r="O128" s="29" t="s">
        <v>45</v>
      </c>
      <c r="P128" s="29"/>
      <c r="Q128" s="9"/>
      <c r="R128" s="9"/>
      <c r="S128" s="9"/>
      <c r="T128" s="9"/>
      <c r="U128" s="9"/>
      <c r="V128" s="9"/>
      <c r="W128" s="9"/>
      <c r="X128" s="9"/>
      <c r="Y128" s="9"/>
    </row>
    <row r="129" ht="15.75" customHeight="1">
      <c r="A129" s="25">
        <v>125.0</v>
      </c>
      <c r="B129" s="25" t="s">
        <v>1942</v>
      </c>
      <c r="C129" s="27" t="s">
        <v>1268</v>
      </c>
      <c r="D129" s="27" t="s">
        <v>1298</v>
      </c>
      <c r="E129" s="27" t="s">
        <v>1943</v>
      </c>
      <c r="F129" s="27" t="s">
        <v>1945</v>
      </c>
      <c r="G129" s="27" t="s">
        <v>1946</v>
      </c>
      <c r="H129" s="27" t="s">
        <v>1948</v>
      </c>
      <c r="I129" s="27" t="s">
        <v>1949</v>
      </c>
      <c r="J129" s="27" t="s">
        <v>1950</v>
      </c>
      <c r="K129" s="27" t="s">
        <v>1951</v>
      </c>
      <c r="L129" s="25" t="s">
        <v>56</v>
      </c>
      <c r="M129" s="25" t="s">
        <v>31</v>
      </c>
      <c r="N129" s="27" t="s">
        <v>67</v>
      </c>
      <c r="O129" s="27" t="s">
        <v>32</v>
      </c>
      <c r="P129" s="27"/>
      <c r="Q129" s="9"/>
      <c r="R129" s="9"/>
      <c r="S129" s="9"/>
      <c r="T129" s="9"/>
      <c r="U129" s="9"/>
      <c r="V129" s="9"/>
      <c r="W129" s="9"/>
      <c r="X129" s="9"/>
      <c r="Y129" s="9"/>
    </row>
    <row r="130" ht="15.75" hidden="1" customHeight="1">
      <c r="A130" s="28">
        <v>126.0</v>
      </c>
      <c r="B130" s="28" t="s">
        <v>2271</v>
      </c>
      <c r="C130" s="29" t="s">
        <v>345</v>
      </c>
      <c r="D130" s="29" t="s">
        <v>2272</v>
      </c>
      <c r="E130" s="29" t="s">
        <v>2273</v>
      </c>
      <c r="F130" s="29" t="s">
        <v>2274</v>
      </c>
      <c r="G130" s="29" t="s">
        <v>2275</v>
      </c>
      <c r="H130" s="29" t="s">
        <v>2276</v>
      </c>
      <c r="I130" s="29" t="s">
        <v>2277</v>
      </c>
      <c r="J130" s="29" t="s">
        <v>2278</v>
      </c>
      <c r="K130" s="29" t="s">
        <v>2279</v>
      </c>
      <c r="L130" s="28" t="s">
        <v>56</v>
      </c>
      <c r="M130" s="28" t="s">
        <v>31</v>
      </c>
      <c r="N130" s="29" t="s">
        <v>56</v>
      </c>
      <c r="O130" s="29" t="s">
        <v>33</v>
      </c>
      <c r="P130" s="29" t="s">
        <v>56</v>
      </c>
      <c r="Q130" s="9"/>
      <c r="R130" s="9"/>
      <c r="S130" s="9"/>
      <c r="T130" s="9"/>
      <c r="U130" s="9"/>
      <c r="V130" s="9"/>
      <c r="W130" s="9"/>
      <c r="X130" s="9"/>
      <c r="Y130" s="9"/>
    </row>
    <row r="131" ht="15.75" hidden="1" customHeight="1">
      <c r="A131" s="25">
        <v>127.0</v>
      </c>
      <c r="B131" s="25" t="s">
        <v>1314</v>
      </c>
      <c r="C131" s="27" t="s">
        <v>1315</v>
      </c>
      <c r="D131" s="27" t="s">
        <v>1316</v>
      </c>
      <c r="E131" s="27" t="s">
        <v>1317</v>
      </c>
      <c r="F131" s="27" t="s">
        <v>1318</v>
      </c>
      <c r="G131" s="27"/>
      <c r="H131" s="27" t="s">
        <v>1319</v>
      </c>
      <c r="I131" s="27" t="s">
        <v>1320</v>
      </c>
      <c r="J131" s="27" t="s">
        <v>1321</v>
      </c>
      <c r="K131" s="27" t="s">
        <v>1322</v>
      </c>
      <c r="L131" s="25" t="s">
        <v>98</v>
      </c>
      <c r="M131" s="25" t="s">
        <v>31</v>
      </c>
      <c r="N131" s="27" t="s">
        <v>98</v>
      </c>
      <c r="O131" s="27" t="s">
        <v>45</v>
      </c>
      <c r="P131" s="27"/>
      <c r="Q131" s="9"/>
      <c r="R131" s="9"/>
      <c r="S131" s="9"/>
      <c r="T131" s="9"/>
      <c r="U131" s="9"/>
      <c r="V131" s="9"/>
      <c r="W131" s="9"/>
      <c r="X131" s="9"/>
      <c r="Y131" s="9"/>
    </row>
    <row r="132" ht="15.75" hidden="1" customHeight="1">
      <c r="A132" s="28">
        <v>128.0</v>
      </c>
      <c r="B132" s="28" t="s">
        <v>1323</v>
      </c>
      <c r="C132" s="29" t="s">
        <v>1324</v>
      </c>
      <c r="D132" s="29" t="s">
        <v>1316</v>
      </c>
      <c r="E132" s="29" t="s">
        <v>1325</v>
      </c>
      <c r="F132" s="29" t="s">
        <v>1326</v>
      </c>
      <c r="G132" s="29" t="s">
        <v>1327</v>
      </c>
      <c r="H132" s="29" t="s">
        <v>1328</v>
      </c>
      <c r="I132" s="29" t="s">
        <v>1329</v>
      </c>
      <c r="J132" s="29" t="s">
        <v>1330</v>
      </c>
      <c r="K132" s="29" t="s">
        <v>1331</v>
      </c>
      <c r="L132" s="28"/>
      <c r="M132" s="28"/>
      <c r="N132" s="29" t="s">
        <v>98</v>
      </c>
      <c r="O132" s="29" t="s">
        <v>45</v>
      </c>
      <c r="P132" s="29"/>
      <c r="Q132" s="9"/>
      <c r="R132" s="9"/>
      <c r="S132" s="9"/>
      <c r="T132" s="9"/>
      <c r="U132" s="9"/>
      <c r="V132" s="9"/>
      <c r="W132" s="9"/>
      <c r="X132" s="9"/>
      <c r="Y132" s="9"/>
    </row>
    <row r="133" ht="15.75" customHeight="1">
      <c r="A133" s="25">
        <v>129.0</v>
      </c>
      <c r="B133" s="25" t="s">
        <v>1332</v>
      </c>
      <c r="C133" s="27" t="s">
        <v>1333</v>
      </c>
      <c r="D133" s="27" t="s">
        <v>217</v>
      </c>
      <c r="E133" s="27" t="s">
        <v>1335</v>
      </c>
      <c r="F133" s="27" t="s">
        <v>1336</v>
      </c>
      <c r="G133" s="27" t="s">
        <v>1338</v>
      </c>
      <c r="H133" s="27" t="s">
        <v>1339</v>
      </c>
      <c r="I133" s="27" t="s">
        <v>1340</v>
      </c>
      <c r="J133" s="27" t="s">
        <v>1342</v>
      </c>
      <c r="K133" s="27" t="s">
        <v>1343</v>
      </c>
      <c r="L133" s="25" t="s">
        <v>56</v>
      </c>
      <c r="M133" s="25" t="s">
        <v>33</v>
      </c>
      <c r="N133" s="27" t="s">
        <v>67</v>
      </c>
      <c r="O133" s="27" t="s">
        <v>32</v>
      </c>
      <c r="P133" s="27"/>
      <c r="Q133" s="9"/>
      <c r="R133" s="9"/>
      <c r="S133" s="9"/>
      <c r="T133" s="9"/>
      <c r="U133" s="9"/>
      <c r="V133" s="9"/>
      <c r="W133" s="9"/>
      <c r="X133" s="9"/>
      <c r="Y133" s="9"/>
    </row>
    <row r="134" ht="15.75" hidden="1" customHeight="1">
      <c r="A134" s="28">
        <v>130.0</v>
      </c>
      <c r="B134" s="28" t="s">
        <v>1344</v>
      </c>
      <c r="C134" s="29" t="s">
        <v>1345</v>
      </c>
      <c r="D134" s="29" t="s">
        <v>217</v>
      </c>
      <c r="E134" s="29" t="s">
        <v>1346</v>
      </c>
      <c r="F134" s="29" t="s">
        <v>1347</v>
      </c>
      <c r="G134" s="29" t="s">
        <v>1348</v>
      </c>
      <c r="H134" s="29" t="s">
        <v>1349</v>
      </c>
      <c r="I134" s="29" t="s">
        <v>1350</v>
      </c>
      <c r="J134" s="29" t="s">
        <v>1351</v>
      </c>
      <c r="K134" s="29" t="s">
        <v>1352</v>
      </c>
      <c r="L134" s="28" t="s">
        <v>56</v>
      </c>
      <c r="M134" s="28" t="s">
        <v>33</v>
      </c>
      <c r="N134" s="29" t="s">
        <v>67</v>
      </c>
      <c r="O134" s="29" t="s">
        <v>31</v>
      </c>
      <c r="P134" s="29" t="s">
        <v>67</v>
      </c>
      <c r="Q134" s="9"/>
      <c r="R134" s="9"/>
      <c r="S134" s="9"/>
      <c r="T134" s="9"/>
      <c r="U134" s="9"/>
      <c r="V134" s="9"/>
      <c r="W134" s="9"/>
      <c r="X134" s="9"/>
      <c r="Y134" s="9"/>
    </row>
    <row r="135" ht="15.75" hidden="1" customHeight="1">
      <c r="A135" s="25">
        <v>131.0</v>
      </c>
      <c r="B135" s="25" t="s">
        <v>1353</v>
      </c>
      <c r="C135" s="27" t="s">
        <v>1354</v>
      </c>
      <c r="D135" s="27" t="s">
        <v>217</v>
      </c>
      <c r="E135" s="27" t="s">
        <v>1355</v>
      </c>
      <c r="F135" s="27" t="s">
        <v>1356</v>
      </c>
      <c r="G135" s="27" t="s">
        <v>1357</v>
      </c>
      <c r="H135" s="27" t="s">
        <v>1340</v>
      </c>
      <c r="I135" s="27" t="s">
        <v>1340</v>
      </c>
      <c r="J135" s="27" t="s">
        <v>1340</v>
      </c>
      <c r="K135" s="27" t="s">
        <v>1358</v>
      </c>
      <c r="L135" s="25" t="s">
        <v>56</v>
      </c>
      <c r="M135" s="25" t="s">
        <v>33</v>
      </c>
      <c r="N135" s="27" t="s">
        <v>56</v>
      </c>
      <c r="O135" s="27" t="s">
        <v>45</v>
      </c>
      <c r="P135" s="27"/>
      <c r="Q135" s="9"/>
      <c r="R135" s="9"/>
      <c r="S135" s="9"/>
      <c r="T135" s="9"/>
      <c r="U135" s="9"/>
      <c r="V135" s="9"/>
      <c r="W135" s="9"/>
      <c r="X135" s="9"/>
      <c r="Y135" s="9"/>
    </row>
    <row r="136" ht="15.75" customHeight="1">
      <c r="A136" s="28">
        <v>132.0</v>
      </c>
      <c r="B136" s="28" t="s">
        <v>1359</v>
      </c>
      <c r="C136" s="29" t="s">
        <v>1360</v>
      </c>
      <c r="D136" s="29" t="s">
        <v>217</v>
      </c>
      <c r="E136" s="29" t="s">
        <v>1361</v>
      </c>
      <c r="F136" s="29" t="s">
        <v>1362</v>
      </c>
      <c r="G136" s="29" t="s">
        <v>1363</v>
      </c>
      <c r="H136" s="29" t="s">
        <v>1364</v>
      </c>
      <c r="I136" s="29" t="s">
        <v>1340</v>
      </c>
      <c r="J136" s="29" t="s">
        <v>1365</v>
      </c>
      <c r="K136" s="29" t="s">
        <v>1366</v>
      </c>
      <c r="L136" s="28" t="s">
        <v>56</v>
      </c>
      <c r="M136" s="28" t="s">
        <v>33</v>
      </c>
      <c r="N136" s="29" t="s">
        <v>67</v>
      </c>
      <c r="O136" s="29" t="s">
        <v>32</v>
      </c>
      <c r="P136" s="29"/>
      <c r="Q136" s="9"/>
      <c r="R136" s="9"/>
      <c r="S136" s="9"/>
      <c r="T136" s="9"/>
      <c r="U136" s="9"/>
      <c r="V136" s="9"/>
      <c r="W136" s="9"/>
      <c r="X136" s="9"/>
      <c r="Y136" s="9"/>
    </row>
    <row r="137" ht="15.75" hidden="1" customHeight="1">
      <c r="A137" s="25">
        <v>133.0</v>
      </c>
      <c r="B137" s="25" t="s">
        <v>1369</v>
      </c>
      <c r="C137" s="27" t="s">
        <v>1370</v>
      </c>
      <c r="D137" s="27" t="s">
        <v>217</v>
      </c>
      <c r="E137" s="27" t="s">
        <v>1371</v>
      </c>
      <c r="F137" s="27" t="s">
        <v>1372</v>
      </c>
      <c r="G137" s="27" t="s">
        <v>1374</v>
      </c>
      <c r="H137" s="27" t="s">
        <v>1375</v>
      </c>
      <c r="I137" s="27" t="s">
        <v>1340</v>
      </c>
      <c r="J137" s="27" t="s">
        <v>1377</v>
      </c>
      <c r="K137" s="27" t="s">
        <v>1378</v>
      </c>
      <c r="L137" s="25" t="s">
        <v>56</v>
      </c>
      <c r="M137" s="25" t="s">
        <v>33</v>
      </c>
      <c r="N137" s="27" t="s">
        <v>56</v>
      </c>
      <c r="O137" s="27" t="s">
        <v>31</v>
      </c>
      <c r="P137" s="27" t="s">
        <v>67</v>
      </c>
      <c r="Q137" s="9"/>
      <c r="R137" s="9"/>
      <c r="S137" s="9"/>
      <c r="T137" s="9"/>
      <c r="U137" s="9"/>
      <c r="V137" s="9"/>
      <c r="W137" s="9"/>
      <c r="X137" s="9"/>
      <c r="Y137" s="9"/>
    </row>
    <row r="138" ht="15.75" hidden="1" customHeight="1">
      <c r="A138" s="28">
        <v>134.0</v>
      </c>
      <c r="B138" s="28" t="s">
        <v>1379</v>
      </c>
      <c r="C138" s="29" t="s">
        <v>1380</v>
      </c>
      <c r="D138" s="29" t="s">
        <v>217</v>
      </c>
      <c r="E138" s="29" t="s">
        <v>1381</v>
      </c>
      <c r="F138" s="29" t="s">
        <v>1382</v>
      </c>
      <c r="G138" s="29" t="s">
        <v>1383</v>
      </c>
      <c r="H138" s="29" t="s">
        <v>1384</v>
      </c>
      <c r="I138" s="29" t="s">
        <v>1385</v>
      </c>
      <c r="J138" s="29" t="s">
        <v>1386</v>
      </c>
      <c r="K138" s="29" t="s">
        <v>1387</v>
      </c>
      <c r="L138" s="28" t="s">
        <v>56</v>
      </c>
      <c r="M138" s="28" t="s">
        <v>33</v>
      </c>
      <c r="N138" s="29" t="s">
        <v>56</v>
      </c>
      <c r="O138" s="29" t="s">
        <v>45</v>
      </c>
      <c r="P138" s="29"/>
      <c r="Q138" s="9"/>
      <c r="R138" s="9"/>
      <c r="S138" s="9"/>
      <c r="T138" s="9"/>
      <c r="U138" s="9"/>
      <c r="V138" s="9"/>
      <c r="W138" s="9"/>
      <c r="X138" s="9"/>
      <c r="Y138" s="9"/>
    </row>
    <row r="139" ht="15.75" customHeight="1">
      <c r="A139" s="25">
        <v>135.0</v>
      </c>
      <c r="B139" s="25" t="s">
        <v>1388</v>
      </c>
      <c r="C139" s="27" t="s">
        <v>1389</v>
      </c>
      <c r="D139" s="27" t="s">
        <v>217</v>
      </c>
      <c r="E139" s="27" t="s">
        <v>1390</v>
      </c>
      <c r="F139" s="27" t="s">
        <v>1391</v>
      </c>
      <c r="G139" s="27" t="s">
        <v>1392</v>
      </c>
      <c r="H139" s="27" t="s">
        <v>1393</v>
      </c>
      <c r="I139" s="27" t="s">
        <v>1340</v>
      </c>
      <c r="J139" s="27" t="s">
        <v>1394</v>
      </c>
      <c r="K139" s="27" t="s">
        <v>1395</v>
      </c>
      <c r="L139" s="25" t="s">
        <v>56</v>
      </c>
      <c r="M139" s="25" t="s">
        <v>33</v>
      </c>
      <c r="N139" s="27" t="s">
        <v>67</v>
      </c>
      <c r="O139" s="27" t="s">
        <v>32</v>
      </c>
      <c r="P139" s="27"/>
      <c r="Q139" s="9"/>
      <c r="R139" s="9"/>
      <c r="S139" s="9"/>
      <c r="T139" s="9"/>
      <c r="U139" s="9"/>
      <c r="V139" s="9"/>
      <c r="W139" s="9"/>
      <c r="X139" s="9"/>
      <c r="Y139" s="9"/>
    </row>
    <row r="140" ht="15.75" hidden="1" customHeight="1">
      <c r="A140" s="28">
        <v>136.0</v>
      </c>
      <c r="B140" s="28" t="s">
        <v>1396</v>
      </c>
      <c r="C140" s="29" t="s">
        <v>1397</v>
      </c>
      <c r="D140" s="29" t="s">
        <v>217</v>
      </c>
      <c r="E140" s="29" t="s">
        <v>1398</v>
      </c>
      <c r="F140" s="29" t="s">
        <v>1399</v>
      </c>
      <c r="G140" s="29" t="s">
        <v>1400</v>
      </c>
      <c r="H140" s="29" t="s">
        <v>1401</v>
      </c>
      <c r="I140" s="29" t="s">
        <v>1402</v>
      </c>
      <c r="J140" s="29" t="s">
        <v>1403</v>
      </c>
      <c r="K140" s="29" t="s">
        <v>1404</v>
      </c>
      <c r="L140" s="28" t="s">
        <v>56</v>
      </c>
      <c r="M140" s="28" t="s">
        <v>33</v>
      </c>
      <c r="N140" s="29" t="s">
        <v>67</v>
      </c>
      <c r="O140" s="29" t="s">
        <v>31</v>
      </c>
      <c r="P140" s="29" t="s">
        <v>67</v>
      </c>
      <c r="Q140" s="9"/>
      <c r="R140" s="9"/>
      <c r="S140" s="9"/>
      <c r="T140" s="9"/>
      <c r="U140" s="9"/>
      <c r="V140" s="9"/>
      <c r="W140" s="9"/>
      <c r="X140" s="9"/>
      <c r="Y140" s="9"/>
    </row>
    <row r="141" ht="15.75" hidden="1" customHeight="1">
      <c r="A141" s="25">
        <v>137.0</v>
      </c>
      <c r="B141" s="25" t="s">
        <v>1410</v>
      </c>
      <c r="C141" s="27" t="s">
        <v>1411</v>
      </c>
      <c r="D141" s="27" t="s">
        <v>217</v>
      </c>
      <c r="E141" s="27" t="s">
        <v>1413</v>
      </c>
      <c r="F141" s="27" t="s">
        <v>1415</v>
      </c>
      <c r="G141" s="27" t="s">
        <v>1416</v>
      </c>
      <c r="H141" s="27" t="s">
        <v>1417</v>
      </c>
      <c r="I141" s="27" t="s">
        <v>1340</v>
      </c>
      <c r="J141" s="27" t="s">
        <v>1419</v>
      </c>
      <c r="K141" s="27" t="s">
        <v>1420</v>
      </c>
      <c r="L141" s="25" t="s">
        <v>56</v>
      </c>
      <c r="M141" s="25" t="s">
        <v>33</v>
      </c>
      <c r="N141" s="27" t="s">
        <v>67</v>
      </c>
      <c r="O141" s="27" t="s">
        <v>45</v>
      </c>
      <c r="P141" s="27"/>
      <c r="Q141" s="9"/>
      <c r="R141" s="9"/>
      <c r="S141" s="9"/>
      <c r="T141" s="9"/>
      <c r="U141" s="9"/>
      <c r="V141" s="9"/>
      <c r="W141" s="9"/>
      <c r="X141" s="9"/>
      <c r="Y141" s="9"/>
    </row>
    <row r="142" ht="15.75" customHeight="1">
      <c r="A142" s="28">
        <v>138.0</v>
      </c>
      <c r="B142" s="28" t="s">
        <v>1425</v>
      </c>
      <c r="C142" s="29" t="s">
        <v>1427</v>
      </c>
      <c r="D142" s="29" t="s">
        <v>217</v>
      </c>
      <c r="E142" s="29" t="s">
        <v>1428</v>
      </c>
      <c r="F142" s="29" t="s">
        <v>1429</v>
      </c>
      <c r="G142" s="29" t="s">
        <v>1430</v>
      </c>
      <c r="H142" s="29" t="s">
        <v>1431</v>
      </c>
      <c r="I142" s="29" t="s">
        <v>1340</v>
      </c>
      <c r="J142" s="29" t="s">
        <v>1432</v>
      </c>
      <c r="K142" s="29" t="s">
        <v>1433</v>
      </c>
      <c r="L142" s="28" t="s">
        <v>56</v>
      </c>
      <c r="M142" s="28" t="s">
        <v>33</v>
      </c>
      <c r="N142" s="29" t="s">
        <v>56</v>
      </c>
      <c r="O142" s="29" t="s">
        <v>32</v>
      </c>
      <c r="P142" s="29"/>
      <c r="Q142" s="9"/>
      <c r="R142" s="9"/>
      <c r="S142" s="9"/>
      <c r="T142" s="9"/>
      <c r="U142" s="9"/>
      <c r="V142" s="9"/>
      <c r="W142" s="9"/>
      <c r="X142" s="9"/>
      <c r="Y142" s="9"/>
    </row>
    <row r="143" ht="15.75" hidden="1" customHeight="1">
      <c r="A143" s="25">
        <v>139.0</v>
      </c>
      <c r="B143" s="25" t="s">
        <v>1434</v>
      </c>
      <c r="C143" s="27" t="s">
        <v>1435</v>
      </c>
      <c r="D143" s="27" t="s">
        <v>217</v>
      </c>
      <c r="E143" s="27" t="s">
        <v>1436</v>
      </c>
      <c r="F143" s="27" t="s">
        <v>1437</v>
      </c>
      <c r="G143" s="27" t="s">
        <v>1438</v>
      </c>
      <c r="H143" s="27" t="s">
        <v>1439</v>
      </c>
      <c r="I143" s="27" t="s">
        <v>1340</v>
      </c>
      <c r="J143" s="27" t="s">
        <v>1440</v>
      </c>
      <c r="K143" s="27" t="s">
        <v>1441</v>
      </c>
      <c r="L143" s="25" t="s">
        <v>56</v>
      </c>
      <c r="M143" s="25" t="s">
        <v>33</v>
      </c>
      <c r="N143" s="27" t="s">
        <v>56</v>
      </c>
      <c r="O143" s="27" t="s">
        <v>31</v>
      </c>
      <c r="P143" s="27" t="s">
        <v>67</v>
      </c>
      <c r="Q143" s="9"/>
      <c r="R143" s="9"/>
      <c r="S143" s="9"/>
      <c r="T143" s="9"/>
      <c r="U143" s="9"/>
      <c r="V143" s="9"/>
      <c r="W143" s="9"/>
      <c r="X143" s="9"/>
      <c r="Y143" s="9"/>
    </row>
    <row r="144" ht="15.75" hidden="1" customHeight="1">
      <c r="A144" s="28">
        <v>140.0</v>
      </c>
      <c r="B144" s="28" t="s">
        <v>1442</v>
      </c>
      <c r="C144" s="29" t="s">
        <v>1443</v>
      </c>
      <c r="D144" s="29" t="s">
        <v>217</v>
      </c>
      <c r="E144" s="29" t="s">
        <v>1444</v>
      </c>
      <c r="F144" s="29" t="s">
        <v>1445</v>
      </c>
      <c r="G144" s="29" t="s">
        <v>1446</v>
      </c>
      <c r="H144" s="29" t="s">
        <v>1447</v>
      </c>
      <c r="I144" s="29" t="s">
        <v>1340</v>
      </c>
      <c r="J144" s="29" t="s">
        <v>1448</v>
      </c>
      <c r="K144" s="29" t="s">
        <v>1449</v>
      </c>
      <c r="L144" s="28" t="s">
        <v>56</v>
      </c>
      <c r="M144" s="28" t="s">
        <v>33</v>
      </c>
      <c r="N144" s="29" t="s">
        <v>44</v>
      </c>
      <c r="O144" s="29" t="s">
        <v>45</v>
      </c>
      <c r="P144" s="29"/>
      <c r="Q144" s="9"/>
      <c r="R144" s="9"/>
      <c r="S144" s="9"/>
      <c r="T144" s="9"/>
      <c r="U144" s="9"/>
      <c r="V144" s="9"/>
      <c r="W144" s="9"/>
      <c r="X144" s="9"/>
      <c r="Y144" s="9"/>
    </row>
    <row r="145" ht="15.75" customHeight="1">
      <c r="A145" s="25">
        <v>141.0</v>
      </c>
      <c r="B145" s="25" t="s">
        <v>1454</v>
      </c>
      <c r="C145" s="27" t="s">
        <v>1455</v>
      </c>
      <c r="D145" s="27" t="s">
        <v>217</v>
      </c>
      <c r="E145" s="27" t="s">
        <v>1456</v>
      </c>
      <c r="F145" s="27" t="s">
        <v>1457</v>
      </c>
      <c r="G145" s="27" t="s">
        <v>1458</v>
      </c>
      <c r="H145" s="27" t="s">
        <v>1459</v>
      </c>
      <c r="I145" s="27" t="s">
        <v>1340</v>
      </c>
      <c r="J145" s="27" t="s">
        <v>1460</v>
      </c>
      <c r="K145" s="27" t="s">
        <v>1461</v>
      </c>
      <c r="L145" s="25" t="s">
        <v>56</v>
      </c>
      <c r="M145" s="25" t="s">
        <v>33</v>
      </c>
      <c r="N145" s="27" t="s">
        <v>67</v>
      </c>
      <c r="O145" s="27" t="s">
        <v>32</v>
      </c>
      <c r="P145" s="27"/>
      <c r="Q145" s="9"/>
      <c r="R145" s="9"/>
      <c r="S145" s="9"/>
      <c r="T145" s="9"/>
      <c r="U145" s="9"/>
      <c r="V145" s="9"/>
      <c r="W145" s="9"/>
      <c r="X145" s="9"/>
      <c r="Y145" s="9"/>
    </row>
    <row r="146" ht="15.75" hidden="1" customHeight="1">
      <c r="A146" s="28">
        <v>142.0</v>
      </c>
      <c r="B146" s="28" t="s">
        <v>1462</v>
      </c>
      <c r="C146" s="29" t="s">
        <v>1463</v>
      </c>
      <c r="D146" s="29" t="s">
        <v>217</v>
      </c>
      <c r="E146" s="29" t="s">
        <v>1464</v>
      </c>
      <c r="F146" s="29" t="s">
        <v>1465</v>
      </c>
      <c r="G146" s="29" t="s">
        <v>1466</v>
      </c>
      <c r="H146" s="29" t="s">
        <v>1467</v>
      </c>
      <c r="I146" s="29" t="s">
        <v>1340</v>
      </c>
      <c r="J146" s="29" t="s">
        <v>1468</v>
      </c>
      <c r="K146" s="29" t="s">
        <v>1469</v>
      </c>
      <c r="L146" s="28" t="s">
        <v>56</v>
      </c>
      <c r="M146" s="28" t="s">
        <v>33</v>
      </c>
      <c r="N146" s="29" t="s">
        <v>44</v>
      </c>
      <c r="O146" s="29" t="s">
        <v>31</v>
      </c>
      <c r="P146" s="29" t="s">
        <v>67</v>
      </c>
      <c r="Q146" s="9"/>
      <c r="R146" s="9"/>
      <c r="S146" s="9"/>
      <c r="T146" s="9"/>
      <c r="U146" s="9"/>
      <c r="V146" s="9"/>
      <c r="W146" s="9"/>
      <c r="X146" s="9"/>
      <c r="Y146" s="9"/>
    </row>
    <row r="147" ht="15.75" hidden="1" customHeight="1">
      <c r="A147" s="25">
        <v>143.0</v>
      </c>
      <c r="B147" s="25" t="s">
        <v>1470</v>
      </c>
      <c r="C147" s="27" t="s">
        <v>1471</v>
      </c>
      <c r="D147" s="27" t="s">
        <v>217</v>
      </c>
      <c r="E147" s="27" t="s">
        <v>1472</v>
      </c>
      <c r="F147" s="27" t="s">
        <v>1473</v>
      </c>
      <c r="G147" s="27" t="s">
        <v>1474</v>
      </c>
      <c r="H147" s="27" t="s">
        <v>1475</v>
      </c>
      <c r="I147" s="27" t="s">
        <v>1340</v>
      </c>
      <c r="J147" s="27" t="s">
        <v>1476</v>
      </c>
      <c r="K147" s="27" t="s">
        <v>1477</v>
      </c>
      <c r="L147" s="25" t="s">
        <v>56</v>
      </c>
      <c r="M147" s="25" t="s">
        <v>33</v>
      </c>
      <c r="N147" s="27" t="s">
        <v>67</v>
      </c>
      <c r="O147" s="27" t="s">
        <v>45</v>
      </c>
      <c r="P147" s="27"/>
      <c r="Q147" s="9"/>
      <c r="R147" s="9"/>
      <c r="S147" s="9"/>
      <c r="T147" s="9"/>
      <c r="U147" s="9"/>
      <c r="V147" s="9"/>
      <c r="W147" s="9"/>
      <c r="X147" s="9"/>
      <c r="Y147" s="9"/>
    </row>
    <row r="148" ht="15.75" customHeight="1">
      <c r="A148" s="28">
        <v>144.0</v>
      </c>
      <c r="B148" s="28" t="s">
        <v>1478</v>
      </c>
      <c r="C148" s="29" t="s">
        <v>1479</v>
      </c>
      <c r="D148" s="29" t="s">
        <v>217</v>
      </c>
      <c r="E148" s="29" t="s">
        <v>1480</v>
      </c>
      <c r="F148" s="29" t="s">
        <v>1481</v>
      </c>
      <c r="G148" s="29" t="s">
        <v>1482</v>
      </c>
      <c r="H148" s="29" t="s">
        <v>1483</v>
      </c>
      <c r="I148" s="29" t="s">
        <v>1340</v>
      </c>
      <c r="J148" s="29" t="s">
        <v>1484</v>
      </c>
      <c r="K148" s="29" t="s">
        <v>1485</v>
      </c>
      <c r="L148" s="28" t="s">
        <v>56</v>
      </c>
      <c r="M148" s="28" t="s">
        <v>33</v>
      </c>
      <c r="N148" s="29" t="s">
        <v>56</v>
      </c>
      <c r="O148" s="29" t="s">
        <v>32</v>
      </c>
      <c r="P148" s="29"/>
      <c r="Q148" s="9"/>
      <c r="R148" s="9"/>
      <c r="S148" s="9"/>
      <c r="T148" s="9"/>
      <c r="U148" s="9"/>
      <c r="V148" s="9"/>
      <c r="W148" s="9"/>
      <c r="X148" s="9"/>
      <c r="Y148" s="9"/>
    </row>
    <row r="149" ht="15.75" hidden="1" customHeight="1">
      <c r="A149" s="25">
        <v>145.0</v>
      </c>
      <c r="B149" s="25" t="s">
        <v>1486</v>
      </c>
      <c r="C149" s="27" t="s">
        <v>1487</v>
      </c>
      <c r="D149" s="27" t="s">
        <v>217</v>
      </c>
      <c r="E149" s="27" t="s">
        <v>1488</v>
      </c>
      <c r="F149" s="27" t="s">
        <v>1489</v>
      </c>
      <c r="G149" s="27" t="s">
        <v>1490</v>
      </c>
      <c r="H149" s="27" t="s">
        <v>1491</v>
      </c>
      <c r="I149" s="27" t="s">
        <v>1492</v>
      </c>
      <c r="J149" s="27" t="s">
        <v>1493</v>
      </c>
      <c r="K149" s="27" t="s">
        <v>1494</v>
      </c>
      <c r="L149" s="25" t="s">
        <v>44</v>
      </c>
      <c r="M149" s="25" t="s">
        <v>33</v>
      </c>
      <c r="N149" s="27" t="s">
        <v>44</v>
      </c>
      <c r="O149" s="27" t="s">
        <v>31</v>
      </c>
      <c r="P149" s="27" t="s">
        <v>44</v>
      </c>
      <c r="Q149" s="9"/>
      <c r="R149" s="9"/>
      <c r="S149" s="9"/>
      <c r="T149" s="9"/>
      <c r="U149" s="9"/>
      <c r="V149" s="9"/>
      <c r="W149" s="9"/>
      <c r="X149" s="9"/>
      <c r="Y149" s="9"/>
    </row>
    <row r="150" ht="15.75" customHeight="1">
      <c r="A150" s="28">
        <v>146.0</v>
      </c>
      <c r="B150" s="28" t="s">
        <v>2312</v>
      </c>
      <c r="C150" s="29" t="s">
        <v>1315</v>
      </c>
      <c r="D150" s="29" t="s">
        <v>1316</v>
      </c>
      <c r="E150" s="29" t="s">
        <v>2313</v>
      </c>
      <c r="F150" s="29" t="s">
        <v>1318</v>
      </c>
      <c r="G150" s="29" t="s">
        <v>2314</v>
      </c>
      <c r="H150" s="29" t="s">
        <v>1319</v>
      </c>
      <c r="I150" s="29" t="s">
        <v>2315</v>
      </c>
      <c r="J150" s="29" t="s">
        <v>1321</v>
      </c>
      <c r="K150" s="29" t="s">
        <v>1322</v>
      </c>
      <c r="L150" s="28" t="s">
        <v>98</v>
      </c>
      <c r="M150" s="28" t="s">
        <v>31</v>
      </c>
      <c r="N150" s="29" t="s">
        <v>98</v>
      </c>
      <c r="O150" s="29" t="s">
        <v>32</v>
      </c>
      <c r="P150" s="29"/>
      <c r="Q150" s="9"/>
      <c r="R150" s="9"/>
      <c r="S150" s="9"/>
      <c r="T150" s="9"/>
      <c r="U150" s="9"/>
      <c r="V150" s="9"/>
      <c r="W150" s="9"/>
      <c r="X150" s="9"/>
      <c r="Y150" s="9"/>
    </row>
    <row r="151" ht="15.75" hidden="1" customHeight="1">
      <c r="A151" s="25">
        <v>147.0</v>
      </c>
      <c r="B151" s="25" t="s">
        <v>2317</v>
      </c>
      <c r="C151" s="27" t="s">
        <v>1324</v>
      </c>
      <c r="D151" s="27" t="s">
        <v>1316</v>
      </c>
      <c r="E151" s="27" t="s">
        <v>2320</v>
      </c>
      <c r="F151" s="27" t="s">
        <v>1326</v>
      </c>
      <c r="G151" s="27" t="s">
        <v>1327</v>
      </c>
      <c r="H151" s="27" t="s">
        <v>1328</v>
      </c>
      <c r="I151" s="27" t="s">
        <v>1329</v>
      </c>
      <c r="J151" s="27" t="s">
        <v>1330</v>
      </c>
      <c r="K151" s="27" t="s">
        <v>1331</v>
      </c>
      <c r="L151" s="25" t="s">
        <v>98</v>
      </c>
      <c r="M151" s="25" t="s">
        <v>31</v>
      </c>
      <c r="N151" s="27" t="s">
        <v>98</v>
      </c>
      <c r="O151" s="27" t="s">
        <v>33</v>
      </c>
      <c r="P151" s="27" t="s">
        <v>98</v>
      </c>
      <c r="Q151" s="9"/>
      <c r="R151" s="9"/>
      <c r="S151" s="9"/>
      <c r="T151" s="9"/>
      <c r="U151" s="9"/>
      <c r="V151" s="9"/>
      <c r="W151" s="9"/>
      <c r="X151" s="9"/>
      <c r="Y151" s="9"/>
    </row>
    <row r="152" ht="15.75" hidden="1" customHeight="1">
      <c r="A152" s="28">
        <v>148.0</v>
      </c>
      <c r="B152" s="28" t="s">
        <v>1495</v>
      </c>
      <c r="C152" s="29" t="s">
        <v>1496</v>
      </c>
      <c r="D152" s="29" t="s">
        <v>1316</v>
      </c>
      <c r="E152" s="29" t="s">
        <v>1497</v>
      </c>
      <c r="F152" s="29" t="s">
        <v>1498</v>
      </c>
      <c r="G152" s="29" t="s">
        <v>1499</v>
      </c>
      <c r="H152" s="29" t="s">
        <v>1500</v>
      </c>
      <c r="I152" s="29" t="s">
        <v>1501</v>
      </c>
      <c r="J152" s="29" t="s">
        <v>1502</v>
      </c>
      <c r="K152" s="29" t="s">
        <v>1503</v>
      </c>
      <c r="L152" s="28" t="s">
        <v>98</v>
      </c>
      <c r="M152" s="28" t="s">
        <v>31</v>
      </c>
      <c r="N152" s="29" t="s">
        <v>98</v>
      </c>
      <c r="O152" s="29" t="s">
        <v>45</v>
      </c>
      <c r="P152" s="29"/>
      <c r="Q152" s="9"/>
      <c r="R152" s="9"/>
      <c r="S152" s="9"/>
      <c r="T152" s="9"/>
      <c r="U152" s="9"/>
      <c r="V152" s="9"/>
      <c r="W152" s="9"/>
      <c r="X152" s="9"/>
      <c r="Y152" s="9"/>
    </row>
    <row r="153" ht="15.75" hidden="1" customHeight="1">
      <c r="A153" s="25">
        <v>149.0</v>
      </c>
      <c r="B153" s="25" t="s">
        <v>1504</v>
      </c>
      <c r="C153" s="27" t="s">
        <v>1505</v>
      </c>
      <c r="D153" s="27" t="s">
        <v>364</v>
      </c>
      <c r="E153" s="27" t="s">
        <v>1506</v>
      </c>
      <c r="F153" s="27" t="s">
        <v>1507</v>
      </c>
      <c r="G153" s="27" t="s">
        <v>1508</v>
      </c>
      <c r="H153" s="27" t="s">
        <v>1509</v>
      </c>
      <c r="I153" s="27" t="s">
        <v>1510</v>
      </c>
      <c r="J153" s="27" t="s">
        <v>1511</v>
      </c>
      <c r="K153" s="27" t="s">
        <v>1512</v>
      </c>
      <c r="L153" s="25" t="s">
        <v>67</v>
      </c>
      <c r="M153" s="25" t="s">
        <v>32</v>
      </c>
      <c r="N153" s="27" t="s">
        <v>67</v>
      </c>
      <c r="O153" s="27" t="s">
        <v>45</v>
      </c>
      <c r="P153" s="27"/>
      <c r="Q153" s="9"/>
      <c r="R153" s="9"/>
      <c r="S153" s="9"/>
      <c r="T153" s="9"/>
      <c r="U153" s="9"/>
      <c r="V153" s="9"/>
      <c r="W153" s="9"/>
      <c r="X153" s="9"/>
      <c r="Y153" s="9"/>
    </row>
    <row r="154" ht="15.75" hidden="1" customHeight="1">
      <c r="A154" s="28">
        <v>150.0</v>
      </c>
      <c r="B154" s="28" t="s">
        <v>1513</v>
      </c>
      <c r="C154" s="29" t="s">
        <v>1514</v>
      </c>
      <c r="D154" s="29" t="s">
        <v>364</v>
      </c>
      <c r="E154" s="29" t="s">
        <v>1515</v>
      </c>
      <c r="F154" s="29" t="s">
        <v>1516</v>
      </c>
      <c r="G154" s="29" t="s">
        <v>1517</v>
      </c>
      <c r="H154" s="29" t="s">
        <v>1518</v>
      </c>
      <c r="I154" s="29" t="s">
        <v>1519</v>
      </c>
      <c r="J154" s="29" t="s">
        <v>1520</v>
      </c>
      <c r="K154" s="29" t="s">
        <v>1521</v>
      </c>
      <c r="L154" s="28" t="s">
        <v>67</v>
      </c>
      <c r="M154" s="28" t="s">
        <v>32</v>
      </c>
      <c r="N154" s="29" t="s">
        <v>56</v>
      </c>
      <c r="O154" s="29" t="s">
        <v>33</v>
      </c>
      <c r="P154" s="29" t="s">
        <v>56</v>
      </c>
      <c r="Q154" s="9"/>
      <c r="R154" s="9"/>
      <c r="S154" s="9"/>
      <c r="T154" s="9"/>
      <c r="U154" s="9"/>
      <c r="V154" s="9"/>
      <c r="W154" s="9"/>
      <c r="X154" s="9"/>
      <c r="Y154" s="9"/>
    </row>
    <row r="155" ht="15.75" hidden="1" customHeight="1">
      <c r="A155" s="25">
        <v>151.0</v>
      </c>
      <c r="B155" s="25" t="s">
        <v>2325</v>
      </c>
      <c r="C155" s="27" t="s">
        <v>2326</v>
      </c>
      <c r="D155" s="27" t="s">
        <v>364</v>
      </c>
      <c r="E155" s="27" t="s">
        <v>2327</v>
      </c>
      <c r="F155" s="27" t="s">
        <v>2328</v>
      </c>
      <c r="G155" s="27" t="s">
        <v>2329</v>
      </c>
      <c r="H155" s="27" t="s">
        <v>2330</v>
      </c>
      <c r="I155" s="27" t="s">
        <v>2331</v>
      </c>
      <c r="J155" s="27" t="s">
        <v>2332</v>
      </c>
      <c r="K155" s="27" t="s">
        <v>2333</v>
      </c>
      <c r="L155" s="25" t="s">
        <v>67</v>
      </c>
      <c r="M155" s="25" t="s">
        <v>32</v>
      </c>
      <c r="N155" s="27" t="s">
        <v>44</v>
      </c>
      <c r="O155" s="27" t="s">
        <v>31</v>
      </c>
      <c r="P155" s="27" t="s">
        <v>30</v>
      </c>
      <c r="Q155" s="9"/>
      <c r="R155" s="9"/>
      <c r="S155" s="9"/>
      <c r="T155" s="9"/>
      <c r="U155" s="9"/>
      <c r="V155" s="9"/>
      <c r="W155" s="9"/>
      <c r="X155" s="9"/>
      <c r="Y155" s="9"/>
    </row>
    <row r="156" ht="15.75" hidden="1" customHeight="1">
      <c r="A156" s="28">
        <v>152.0</v>
      </c>
      <c r="B156" s="28" t="s">
        <v>1525</v>
      </c>
      <c r="C156" s="29" t="s">
        <v>1526</v>
      </c>
      <c r="D156" s="29" t="s">
        <v>364</v>
      </c>
      <c r="E156" s="29" t="s">
        <v>1528</v>
      </c>
      <c r="F156" s="29" t="s">
        <v>1529</v>
      </c>
      <c r="G156" s="29" t="s">
        <v>1530</v>
      </c>
      <c r="H156" s="29" t="s">
        <v>1531</v>
      </c>
      <c r="I156" s="29" t="s">
        <v>1533</v>
      </c>
      <c r="J156" s="29" t="s">
        <v>1534</v>
      </c>
      <c r="K156" s="29" t="s">
        <v>1535</v>
      </c>
      <c r="L156" s="28" t="s">
        <v>44</v>
      </c>
      <c r="M156" s="28" t="s">
        <v>32</v>
      </c>
      <c r="N156" s="29" t="s">
        <v>44</v>
      </c>
      <c r="O156" s="29" t="s">
        <v>45</v>
      </c>
      <c r="P156" s="29"/>
      <c r="Q156" s="9"/>
      <c r="R156" s="9"/>
      <c r="S156" s="9"/>
      <c r="T156" s="9"/>
      <c r="U156" s="9"/>
      <c r="V156" s="9"/>
      <c r="W156" s="9"/>
      <c r="X156" s="9"/>
      <c r="Y156" s="9"/>
    </row>
    <row r="157" ht="15.75" hidden="1" customHeight="1">
      <c r="A157" s="25">
        <v>153.0</v>
      </c>
      <c r="B157" s="25" t="s">
        <v>362</v>
      </c>
      <c r="C157" s="27" t="s">
        <v>363</v>
      </c>
      <c r="D157" s="27" t="s">
        <v>364</v>
      </c>
      <c r="E157" s="27" t="s">
        <v>365</v>
      </c>
      <c r="F157" s="27" t="s">
        <v>366</v>
      </c>
      <c r="G157" s="27" t="s">
        <v>367</v>
      </c>
      <c r="H157" s="27" t="s">
        <v>368</v>
      </c>
      <c r="I157" s="27" t="s">
        <v>369</v>
      </c>
      <c r="J157" s="27" t="s">
        <v>370</v>
      </c>
      <c r="K157" s="27" t="s">
        <v>371</v>
      </c>
      <c r="L157" s="25" t="s">
        <v>44</v>
      </c>
      <c r="M157" s="25" t="s">
        <v>32</v>
      </c>
      <c r="N157" s="27" t="s">
        <v>67</v>
      </c>
      <c r="O157" s="27" t="s">
        <v>33</v>
      </c>
      <c r="P157" s="27" t="s">
        <v>67</v>
      </c>
      <c r="Q157" s="9"/>
      <c r="R157" s="9"/>
      <c r="S157" s="9"/>
      <c r="T157" s="9"/>
      <c r="U157" s="9"/>
      <c r="V157" s="9"/>
      <c r="W157" s="9"/>
      <c r="X157" s="9"/>
      <c r="Y157" s="9"/>
    </row>
    <row r="158" ht="15.75" hidden="1" customHeight="1">
      <c r="A158" s="28">
        <v>154.0</v>
      </c>
      <c r="B158" s="28" t="s">
        <v>1546</v>
      </c>
      <c r="C158" s="29" t="s">
        <v>1547</v>
      </c>
      <c r="D158" s="29" t="s">
        <v>364</v>
      </c>
      <c r="E158" s="29" t="s">
        <v>1548</v>
      </c>
      <c r="F158" s="29" t="s">
        <v>1549</v>
      </c>
      <c r="G158" s="29" t="s">
        <v>1550</v>
      </c>
      <c r="H158" s="29" t="s">
        <v>1551</v>
      </c>
      <c r="I158" s="29" t="s">
        <v>1552</v>
      </c>
      <c r="J158" s="29" t="s">
        <v>1553</v>
      </c>
      <c r="K158" s="29" t="s">
        <v>1554</v>
      </c>
      <c r="L158" s="28" t="s">
        <v>67</v>
      </c>
      <c r="M158" s="28" t="s">
        <v>32</v>
      </c>
      <c r="N158" s="29" t="s">
        <v>67</v>
      </c>
      <c r="O158" s="29" t="s">
        <v>31</v>
      </c>
      <c r="P158" s="29" t="s">
        <v>30</v>
      </c>
      <c r="Q158" s="9"/>
      <c r="R158" s="9"/>
      <c r="S158" s="9"/>
      <c r="T158" s="9"/>
      <c r="U158" s="9"/>
      <c r="V158" s="9"/>
      <c r="W158" s="9"/>
      <c r="X158" s="9"/>
      <c r="Y158" s="9"/>
    </row>
    <row r="159" ht="15.75" hidden="1" customHeight="1">
      <c r="A159" s="25">
        <v>155.0</v>
      </c>
      <c r="B159" s="25" t="s">
        <v>1562</v>
      </c>
      <c r="C159" s="27" t="s">
        <v>1563</v>
      </c>
      <c r="D159" s="27" t="s">
        <v>364</v>
      </c>
      <c r="E159" s="27" t="s">
        <v>1565</v>
      </c>
      <c r="F159" s="27" t="s">
        <v>1567</v>
      </c>
      <c r="G159" s="27" t="s">
        <v>1568</v>
      </c>
      <c r="H159" s="27" t="s">
        <v>1569</v>
      </c>
      <c r="I159" s="27" t="s">
        <v>1570</v>
      </c>
      <c r="J159" s="27" t="s">
        <v>1571</v>
      </c>
      <c r="K159" s="27" t="s">
        <v>1572</v>
      </c>
      <c r="L159" s="25" t="s">
        <v>67</v>
      </c>
      <c r="M159" s="25" t="s">
        <v>32</v>
      </c>
      <c r="N159" s="27" t="s">
        <v>44</v>
      </c>
      <c r="O159" s="27" t="s">
        <v>45</v>
      </c>
      <c r="P159" s="27"/>
      <c r="Q159" s="9"/>
      <c r="R159" s="9"/>
      <c r="S159" s="9"/>
      <c r="T159" s="9"/>
      <c r="U159" s="9"/>
      <c r="V159" s="9"/>
      <c r="W159" s="9"/>
      <c r="X159" s="9"/>
      <c r="Y159" s="9"/>
    </row>
    <row r="160" ht="15.75" hidden="1" customHeight="1">
      <c r="A160" s="28">
        <v>156.0</v>
      </c>
      <c r="B160" s="28" t="s">
        <v>1573</v>
      </c>
      <c r="C160" s="29" t="s">
        <v>1574</v>
      </c>
      <c r="D160" s="29" t="s">
        <v>364</v>
      </c>
      <c r="E160" s="30" t="s">
        <v>1575</v>
      </c>
      <c r="F160" s="30" t="s">
        <v>1576</v>
      </c>
      <c r="G160" s="30" t="s">
        <v>1577</v>
      </c>
      <c r="H160" s="30" t="s">
        <v>1578</v>
      </c>
      <c r="I160" s="30" t="s">
        <v>1579</v>
      </c>
      <c r="J160" s="30" t="s">
        <v>1580</v>
      </c>
      <c r="K160" s="30" t="s">
        <v>1581</v>
      </c>
      <c r="L160" s="28" t="s">
        <v>44</v>
      </c>
      <c r="M160" s="28" t="s">
        <v>32</v>
      </c>
      <c r="N160" s="29" t="s">
        <v>44</v>
      </c>
      <c r="O160" s="29" t="s">
        <v>33</v>
      </c>
      <c r="P160" s="29" t="s">
        <v>44</v>
      </c>
      <c r="Q160" s="9"/>
      <c r="R160" s="9"/>
      <c r="S160" s="9"/>
      <c r="T160" s="9"/>
      <c r="U160" s="9"/>
      <c r="V160" s="9"/>
      <c r="W160" s="9"/>
      <c r="X160" s="9"/>
      <c r="Y160" s="9"/>
    </row>
    <row r="161" ht="15.75" hidden="1" customHeight="1">
      <c r="A161" s="25">
        <v>157.0</v>
      </c>
      <c r="B161" s="25" t="s">
        <v>1584</v>
      </c>
      <c r="C161" s="26" t="s">
        <v>1585</v>
      </c>
      <c r="D161" s="27" t="s">
        <v>364</v>
      </c>
      <c r="E161" s="26" t="s">
        <v>1586</v>
      </c>
      <c r="F161" s="26" t="s">
        <v>1587</v>
      </c>
      <c r="G161" s="26" t="s">
        <v>1588</v>
      </c>
      <c r="H161" s="26" t="s">
        <v>1589</v>
      </c>
      <c r="I161" s="26" t="s">
        <v>1590</v>
      </c>
      <c r="J161" s="26" t="s">
        <v>1591</v>
      </c>
      <c r="K161" s="26" t="s">
        <v>1592</v>
      </c>
      <c r="L161" s="25" t="s">
        <v>44</v>
      </c>
      <c r="M161" s="25" t="s">
        <v>32</v>
      </c>
      <c r="N161" s="27" t="s">
        <v>44</v>
      </c>
      <c r="O161" s="27" t="s">
        <v>31</v>
      </c>
      <c r="P161" s="27" t="s">
        <v>67</v>
      </c>
      <c r="Q161" s="9"/>
      <c r="R161" s="9"/>
      <c r="S161" s="9"/>
      <c r="T161" s="9"/>
      <c r="U161" s="9"/>
      <c r="V161" s="9"/>
      <c r="W161" s="9"/>
      <c r="X161" s="9"/>
      <c r="Y161" s="9"/>
    </row>
    <row r="162" ht="15.75" hidden="1" customHeight="1">
      <c r="A162" s="28">
        <v>158.0</v>
      </c>
      <c r="B162" s="28" t="s">
        <v>440</v>
      </c>
      <c r="C162" s="30" t="s">
        <v>441</v>
      </c>
      <c r="D162" s="29" t="s">
        <v>364</v>
      </c>
      <c r="E162" s="30" t="s">
        <v>442</v>
      </c>
      <c r="F162" s="30" t="s">
        <v>443</v>
      </c>
      <c r="G162" s="30" t="s">
        <v>444</v>
      </c>
      <c r="H162" s="30" t="s">
        <v>445</v>
      </c>
      <c r="I162" s="30" t="s">
        <v>446</v>
      </c>
      <c r="J162" s="30" t="s">
        <v>447</v>
      </c>
      <c r="K162" s="30" t="s">
        <v>448</v>
      </c>
      <c r="L162" s="28" t="s">
        <v>44</v>
      </c>
      <c r="M162" s="28" t="s">
        <v>32</v>
      </c>
      <c r="N162" s="29" t="s">
        <v>44</v>
      </c>
      <c r="O162" s="29" t="s">
        <v>45</v>
      </c>
      <c r="P162" s="29"/>
      <c r="Q162" s="9"/>
      <c r="R162" s="9"/>
      <c r="S162" s="9"/>
      <c r="T162" s="9"/>
      <c r="U162" s="9"/>
      <c r="V162" s="9"/>
      <c r="W162" s="9"/>
      <c r="X162" s="9"/>
      <c r="Y162" s="9"/>
    </row>
    <row r="163" ht="15.75" hidden="1" customHeight="1">
      <c r="A163" s="25">
        <v>159.0</v>
      </c>
      <c r="B163" s="25" t="s">
        <v>449</v>
      </c>
      <c r="C163" s="26" t="s">
        <v>450</v>
      </c>
      <c r="D163" s="27" t="s">
        <v>364</v>
      </c>
      <c r="E163" s="26" t="s">
        <v>451</v>
      </c>
      <c r="F163" s="26" t="s">
        <v>452</v>
      </c>
      <c r="G163" s="26" t="s">
        <v>453</v>
      </c>
      <c r="H163" s="26" t="s">
        <v>454</v>
      </c>
      <c r="I163" s="26" t="s">
        <v>455</v>
      </c>
      <c r="J163" s="26" t="s">
        <v>456</v>
      </c>
      <c r="K163" s="26" t="s">
        <v>457</v>
      </c>
      <c r="L163" s="25" t="s">
        <v>67</v>
      </c>
      <c r="M163" s="25" t="s">
        <v>32</v>
      </c>
      <c r="N163" s="27" t="s">
        <v>67</v>
      </c>
      <c r="O163" s="27" t="s">
        <v>33</v>
      </c>
      <c r="P163" s="27" t="s">
        <v>67</v>
      </c>
      <c r="Q163" s="9"/>
      <c r="R163" s="9"/>
      <c r="S163" s="9"/>
      <c r="T163" s="9"/>
      <c r="U163" s="9"/>
      <c r="V163" s="9"/>
      <c r="W163" s="9"/>
      <c r="X163" s="9"/>
      <c r="Y163" s="9"/>
    </row>
    <row r="164" ht="15.75" hidden="1" customHeight="1">
      <c r="A164" s="28">
        <v>160.0</v>
      </c>
      <c r="B164" s="28" t="s">
        <v>1613</v>
      </c>
      <c r="C164" s="30" t="s">
        <v>1614</v>
      </c>
      <c r="D164" s="29" t="s">
        <v>364</v>
      </c>
      <c r="E164" s="30" t="s">
        <v>1616</v>
      </c>
      <c r="F164" s="30" t="s">
        <v>1617</v>
      </c>
      <c r="G164" s="30" t="s">
        <v>1618</v>
      </c>
      <c r="H164" s="30" t="s">
        <v>1619</v>
      </c>
      <c r="I164" s="30" t="s">
        <v>1620</v>
      </c>
      <c r="J164" s="30" t="s">
        <v>1621</v>
      </c>
      <c r="K164" s="30" t="s">
        <v>1622</v>
      </c>
      <c r="L164" s="28" t="s">
        <v>67</v>
      </c>
      <c r="M164" s="28" t="s">
        <v>32</v>
      </c>
      <c r="N164" s="29" t="s">
        <v>67</v>
      </c>
      <c r="O164" s="29" t="s">
        <v>31</v>
      </c>
      <c r="P164" s="29" t="s">
        <v>44</v>
      </c>
      <c r="Q164" s="9"/>
      <c r="R164" s="9"/>
      <c r="S164" s="9"/>
      <c r="T164" s="9"/>
      <c r="U164" s="9"/>
      <c r="V164" s="9"/>
      <c r="W164" s="9"/>
      <c r="X164" s="9"/>
      <c r="Y164" s="9"/>
    </row>
    <row r="165" ht="15.75" hidden="1" customHeight="1">
      <c r="A165" s="25">
        <v>161.0</v>
      </c>
      <c r="B165" s="25" t="s">
        <v>1623</v>
      </c>
      <c r="C165" s="26" t="s">
        <v>1624</v>
      </c>
      <c r="D165" s="27" t="s">
        <v>364</v>
      </c>
      <c r="E165" s="26" t="s">
        <v>1625</v>
      </c>
      <c r="F165" s="26" t="s">
        <v>1626</v>
      </c>
      <c r="G165" s="26" t="s">
        <v>1627</v>
      </c>
      <c r="H165" s="26" t="s">
        <v>1628</v>
      </c>
      <c r="I165" s="26" t="s">
        <v>1629</v>
      </c>
      <c r="J165" s="26" t="s">
        <v>1630</v>
      </c>
      <c r="K165" s="26" t="s">
        <v>1631</v>
      </c>
      <c r="L165" s="25" t="s">
        <v>44</v>
      </c>
      <c r="M165" s="25" t="s">
        <v>32</v>
      </c>
      <c r="N165" s="27" t="s">
        <v>44</v>
      </c>
      <c r="O165" s="27" t="s">
        <v>45</v>
      </c>
      <c r="P165" s="27"/>
      <c r="Q165" s="9"/>
      <c r="R165" s="9"/>
      <c r="S165" s="9"/>
      <c r="T165" s="9"/>
      <c r="U165" s="9"/>
      <c r="V165" s="9"/>
      <c r="W165" s="9"/>
      <c r="X165" s="9"/>
      <c r="Y165" s="9"/>
    </row>
    <row r="166" ht="15.75" hidden="1" customHeight="1">
      <c r="A166" s="28">
        <v>162.0</v>
      </c>
      <c r="B166" s="28" t="s">
        <v>2345</v>
      </c>
      <c r="C166" s="30" t="s">
        <v>2346</v>
      </c>
      <c r="D166" s="29" t="s">
        <v>364</v>
      </c>
      <c r="E166" s="30" t="s">
        <v>2347</v>
      </c>
      <c r="F166" s="30" t="s">
        <v>2348</v>
      </c>
      <c r="G166" s="30" t="s">
        <v>2349</v>
      </c>
      <c r="H166" s="30" t="s">
        <v>2350</v>
      </c>
      <c r="I166" s="30" t="s">
        <v>2351</v>
      </c>
      <c r="J166" s="30" t="s">
        <v>2352</v>
      </c>
      <c r="K166" s="30" t="s">
        <v>2353</v>
      </c>
      <c r="L166" s="28" t="s">
        <v>98</v>
      </c>
      <c r="M166" s="28" t="s">
        <v>32</v>
      </c>
      <c r="N166" s="29" t="s">
        <v>98</v>
      </c>
      <c r="O166" s="29" t="s">
        <v>33</v>
      </c>
      <c r="P166" s="29" t="s">
        <v>98</v>
      </c>
      <c r="Q166" s="9"/>
      <c r="R166" s="9"/>
      <c r="S166" s="9"/>
      <c r="T166" s="9"/>
      <c r="U166" s="9"/>
      <c r="V166" s="9"/>
      <c r="W166" s="9"/>
      <c r="X166" s="9"/>
      <c r="Y166" s="9"/>
    </row>
    <row r="167" ht="15.75" hidden="1" customHeight="1">
      <c r="A167" s="25">
        <v>163.0</v>
      </c>
      <c r="B167" s="25" t="s">
        <v>1632</v>
      </c>
      <c r="C167" s="26" t="s">
        <v>1633</v>
      </c>
      <c r="D167" s="27" t="s">
        <v>364</v>
      </c>
      <c r="E167" s="26" t="s">
        <v>1634</v>
      </c>
      <c r="F167" s="26" t="s">
        <v>1635</v>
      </c>
      <c r="G167" s="26" t="s">
        <v>1636</v>
      </c>
      <c r="H167" s="26" t="s">
        <v>1637</v>
      </c>
      <c r="I167" s="26" t="s">
        <v>1638</v>
      </c>
      <c r="J167" s="26" t="s">
        <v>1639</v>
      </c>
      <c r="K167" s="26" t="s">
        <v>1640</v>
      </c>
      <c r="L167" s="25" t="s">
        <v>56</v>
      </c>
      <c r="M167" s="25" t="s">
        <v>32</v>
      </c>
      <c r="N167" s="27" t="s">
        <v>56</v>
      </c>
      <c r="O167" s="27" t="s">
        <v>31</v>
      </c>
      <c r="P167" s="27" t="s">
        <v>44</v>
      </c>
      <c r="Q167" s="9"/>
      <c r="R167" s="9"/>
      <c r="S167" s="9"/>
      <c r="T167" s="9"/>
      <c r="U167" s="9"/>
      <c r="V167" s="9"/>
      <c r="W167" s="9"/>
      <c r="X167" s="9"/>
      <c r="Y167" s="9"/>
    </row>
    <row r="168" ht="15.75" hidden="1" customHeight="1">
      <c r="A168" s="28">
        <v>164.0</v>
      </c>
      <c r="B168" s="28" t="s">
        <v>466</v>
      </c>
      <c r="C168" s="30" t="s">
        <v>467</v>
      </c>
      <c r="D168" s="29" t="s">
        <v>364</v>
      </c>
      <c r="E168" s="30" t="s">
        <v>468</v>
      </c>
      <c r="F168" s="30" t="s">
        <v>469</v>
      </c>
      <c r="G168" s="30" t="s">
        <v>470</v>
      </c>
      <c r="H168" s="30" t="s">
        <v>471</v>
      </c>
      <c r="I168" s="30" t="s">
        <v>472</v>
      </c>
      <c r="J168" s="30" t="s">
        <v>473</v>
      </c>
      <c r="K168" s="30" t="s">
        <v>474</v>
      </c>
      <c r="L168" s="28" t="s">
        <v>30</v>
      </c>
      <c r="M168" s="28" t="s">
        <v>32</v>
      </c>
      <c r="N168" s="29" t="s">
        <v>44</v>
      </c>
      <c r="O168" s="29" t="s">
        <v>45</v>
      </c>
      <c r="P168" s="29"/>
      <c r="Q168" s="9"/>
      <c r="R168" s="9"/>
      <c r="S168" s="9"/>
      <c r="T168" s="9"/>
      <c r="U168" s="9"/>
      <c r="V168" s="9"/>
      <c r="W168" s="9"/>
      <c r="X168" s="9"/>
      <c r="Y168" s="9"/>
    </row>
    <row r="169" ht="15.75" hidden="1" customHeight="1">
      <c r="A169" s="25">
        <v>165.0</v>
      </c>
      <c r="B169" s="25" t="s">
        <v>1651</v>
      </c>
      <c r="C169" s="26" t="s">
        <v>450</v>
      </c>
      <c r="D169" s="27" t="s">
        <v>364</v>
      </c>
      <c r="E169" s="26" t="s">
        <v>1652</v>
      </c>
      <c r="F169" s="26" t="s">
        <v>1653</v>
      </c>
      <c r="G169" s="26" t="s">
        <v>1654</v>
      </c>
      <c r="H169" s="26" t="s">
        <v>1655</v>
      </c>
      <c r="I169" s="26" t="s">
        <v>1656</v>
      </c>
      <c r="J169" s="26" t="s">
        <v>1657</v>
      </c>
      <c r="K169" s="26" t="s">
        <v>1658</v>
      </c>
      <c r="L169" s="25" t="s">
        <v>67</v>
      </c>
      <c r="M169" s="25" t="s">
        <v>32</v>
      </c>
      <c r="N169" s="27" t="s">
        <v>67</v>
      </c>
      <c r="O169" s="27" t="s">
        <v>33</v>
      </c>
      <c r="P169" s="27" t="s">
        <v>67</v>
      </c>
      <c r="Q169" s="9"/>
      <c r="R169" s="9"/>
      <c r="S169" s="9"/>
      <c r="T169" s="9"/>
      <c r="U169" s="9"/>
      <c r="V169" s="9"/>
      <c r="W169" s="9"/>
      <c r="X169" s="9"/>
      <c r="Y169" s="9"/>
    </row>
    <row r="170" ht="15.75" hidden="1" customHeight="1">
      <c r="A170" s="28">
        <v>166.0</v>
      </c>
      <c r="B170" s="28" t="s">
        <v>475</v>
      </c>
      <c r="C170" s="30" t="s">
        <v>476</v>
      </c>
      <c r="D170" s="29" t="s">
        <v>364</v>
      </c>
      <c r="E170" s="30" t="s">
        <v>477</v>
      </c>
      <c r="F170" s="30" t="s">
        <v>478</v>
      </c>
      <c r="G170" s="30" t="s">
        <v>479</v>
      </c>
      <c r="H170" s="30" t="s">
        <v>480</v>
      </c>
      <c r="I170" s="30" t="s">
        <v>481</v>
      </c>
      <c r="J170" s="30" t="s">
        <v>482</v>
      </c>
      <c r="K170" s="30" t="s">
        <v>483</v>
      </c>
      <c r="L170" s="28" t="s">
        <v>30</v>
      </c>
      <c r="M170" s="28" t="s">
        <v>32</v>
      </c>
      <c r="N170" s="29" t="s">
        <v>67</v>
      </c>
      <c r="O170" s="29" t="s">
        <v>31</v>
      </c>
      <c r="P170" s="29" t="s">
        <v>67</v>
      </c>
      <c r="Q170" s="9"/>
      <c r="R170" s="9"/>
      <c r="S170" s="9"/>
      <c r="T170" s="9"/>
      <c r="U170" s="9"/>
      <c r="V170" s="9"/>
      <c r="W170" s="9"/>
      <c r="X170" s="9"/>
      <c r="Y170" s="9"/>
    </row>
    <row r="171" ht="15.75" hidden="1" customHeight="1">
      <c r="A171" s="25">
        <v>167.0</v>
      </c>
      <c r="B171" s="25" t="s">
        <v>1672</v>
      </c>
      <c r="C171" s="26" t="s">
        <v>441</v>
      </c>
      <c r="D171" s="27" t="s">
        <v>364</v>
      </c>
      <c r="E171" s="26" t="s">
        <v>1673</v>
      </c>
      <c r="F171" s="26" t="s">
        <v>1674</v>
      </c>
      <c r="G171" s="26" t="s">
        <v>1675</v>
      </c>
      <c r="H171" s="26" t="s">
        <v>1676</v>
      </c>
      <c r="I171" s="26" t="s">
        <v>1677</v>
      </c>
      <c r="J171" s="26" t="s">
        <v>1678</v>
      </c>
      <c r="K171" s="26" t="s">
        <v>1679</v>
      </c>
      <c r="L171" s="25" t="s">
        <v>44</v>
      </c>
      <c r="M171" s="25" t="s">
        <v>32</v>
      </c>
      <c r="N171" s="27" t="s">
        <v>44</v>
      </c>
      <c r="O171" s="27" t="s">
        <v>45</v>
      </c>
      <c r="P171" s="27"/>
      <c r="Q171" s="9"/>
      <c r="R171" s="9"/>
      <c r="S171" s="9"/>
      <c r="T171" s="9"/>
      <c r="U171" s="9"/>
      <c r="V171" s="9"/>
      <c r="W171" s="9"/>
      <c r="X171" s="9"/>
      <c r="Y171" s="9"/>
    </row>
    <row r="172" ht="15.75" hidden="1" customHeight="1">
      <c r="A172" s="28">
        <v>168.0</v>
      </c>
      <c r="B172" s="28" t="s">
        <v>1680</v>
      </c>
      <c r="C172" s="30" t="s">
        <v>1681</v>
      </c>
      <c r="D172" s="29" t="s">
        <v>364</v>
      </c>
      <c r="E172" s="30" t="s">
        <v>1682</v>
      </c>
      <c r="F172" s="30" t="s">
        <v>1683</v>
      </c>
      <c r="G172" s="30" t="s">
        <v>1684</v>
      </c>
      <c r="H172" s="30" t="s">
        <v>1685</v>
      </c>
      <c r="I172" s="30" t="s">
        <v>1686</v>
      </c>
      <c r="J172" s="30" t="s">
        <v>1687</v>
      </c>
      <c r="K172" s="30" t="s">
        <v>1688</v>
      </c>
      <c r="L172" s="28" t="s">
        <v>67</v>
      </c>
      <c r="M172" s="28" t="s">
        <v>32</v>
      </c>
      <c r="N172" s="29" t="s">
        <v>67</v>
      </c>
      <c r="O172" s="29" t="s">
        <v>33</v>
      </c>
      <c r="P172" s="29" t="s">
        <v>67</v>
      </c>
      <c r="Q172" s="9"/>
      <c r="R172" s="9"/>
      <c r="S172" s="9"/>
      <c r="T172" s="9"/>
      <c r="U172" s="9"/>
      <c r="V172" s="9"/>
      <c r="W172" s="9"/>
      <c r="X172" s="9"/>
      <c r="Y172" s="9"/>
    </row>
    <row r="173" ht="15.75" hidden="1" customHeight="1">
      <c r="A173" s="25">
        <v>169.0</v>
      </c>
      <c r="B173" s="25" t="s">
        <v>510</v>
      </c>
      <c r="C173" s="26" t="s">
        <v>450</v>
      </c>
      <c r="D173" s="27" t="s">
        <v>364</v>
      </c>
      <c r="E173" s="26" t="s">
        <v>511</v>
      </c>
      <c r="F173" s="26" t="s">
        <v>512</v>
      </c>
      <c r="G173" s="26" t="s">
        <v>513</v>
      </c>
      <c r="H173" s="26" t="s">
        <v>514</v>
      </c>
      <c r="I173" s="26" t="s">
        <v>515</v>
      </c>
      <c r="J173" s="26" t="s">
        <v>516</v>
      </c>
      <c r="K173" s="26" t="s">
        <v>517</v>
      </c>
      <c r="L173" s="25" t="s">
        <v>44</v>
      </c>
      <c r="M173" s="25" t="s">
        <v>32</v>
      </c>
      <c r="N173" s="27" t="s">
        <v>44</v>
      </c>
      <c r="O173" s="27" t="s">
        <v>31</v>
      </c>
      <c r="P173" s="27" t="s">
        <v>67</v>
      </c>
      <c r="Q173" s="9"/>
      <c r="R173" s="9"/>
      <c r="S173" s="9"/>
      <c r="T173" s="9"/>
      <c r="U173" s="9"/>
      <c r="V173" s="9"/>
      <c r="W173" s="9"/>
      <c r="X173" s="9"/>
      <c r="Y173" s="9"/>
    </row>
    <row r="174" ht="15.75" hidden="1" customHeight="1">
      <c r="A174" s="28">
        <v>170.0</v>
      </c>
      <c r="B174" s="28" t="s">
        <v>1700</v>
      </c>
      <c r="C174" s="30" t="s">
        <v>441</v>
      </c>
      <c r="D174" s="29" t="s">
        <v>364</v>
      </c>
      <c r="E174" s="30" t="s">
        <v>1701</v>
      </c>
      <c r="F174" s="30" t="s">
        <v>1702</v>
      </c>
      <c r="G174" s="30" t="s">
        <v>1703</v>
      </c>
      <c r="H174" s="30" t="s">
        <v>1704</v>
      </c>
      <c r="I174" s="30" t="s">
        <v>1705</v>
      </c>
      <c r="J174" s="30" t="s">
        <v>1706</v>
      </c>
      <c r="K174" s="30" t="s">
        <v>1707</v>
      </c>
      <c r="L174" s="28" t="s">
        <v>44</v>
      </c>
      <c r="M174" s="28" t="s">
        <v>32</v>
      </c>
      <c r="N174" s="29" t="s">
        <v>44</v>
      </c>
      <c r="O174" s="29" t="s">
        <v>45</v>
      </c>
      <c r="P174" s="29"/>
      <c r="Q174" s="9"/>
      <c r="R174" s="9"/>
      <c r="S174" s="9"/>
      <c r="T174" s="9"/>
      <c r="U174" s="9"/>
      <c r="V174" s="9"/>
      <c r="W174" s="9"/>
      <c r="X174" s="9"/>
      <c r="Y174" s="9"/>
    </row>
    <row r="175" ht="15.75" hidden="1" customHeight="1">
      <c r="A175" s="25">
        <v>171.0</v>
      </c>
      <c r="B175" s="25" t="s">
        <v>1708</v>
      </c>
      <c r="C175" s="26" t="s">
        <v>1709</v>
      </c>
      <c r="D175" s="27" t="s">
        <v>364</v>
      </c>
      <c r="E175" s="26" t="s">
        <v>1710</v>
      </c>
      <c r="F175" s="26" t="s">
        <v>1711</v>
      </c>
      <c r="G175" s="26" t="s">
        <v>1712</v>
      </c>
      <c r="H175" s="26" t="s">
        <v>1713</v>
      </c>
      <c r="I175" s="26" t="s">
        <v>1714</v>
      </c>
      <c r="J175" s="26" t="s">
        <v>1715</v>
      </c>
      <c r="K175" s="26" t="s">
        <v>1716</v>
      </c>
      <c r="L175" s="25" t="s">
        <v>67</v>
      </c>
      <c r="M175" s="25" t="s">
        <v>32</v>
      </c>
      <c r="N175" s="27" t="s">
        <v>67</v>
      </c>
      <c r="O175" s="27" t="s">
        <v>33</v>
      </c>
      <c r="P175" s="27" t="s">
        <v>67</v>
      </c>
      <c r="Q175" s="9"/>
      <c r="R175" s="9"/>
      <c r="S175" s="9"/>
      <c r="T175" s="9"/>
      <c r="U175" s="9"/>
      <c r="V175" s="9"/>
      <c r="W175" s="9"/>
      <c r="X175" s="9"/>
      <c r="Y175" s="9"/>
    </row>
    <row r="176" ht="15.75" hidden="1" customHeight="1">
      <c r="A176" s="28">
        <v>172.0</v>
      </c>
      <c r="B176" s="28" t="s">
        <v>544</v>
      </c>
      <c r="C176" s="30" t="s">
        <v>545</v>
      </c>
      <c r="D176" s="29" t="s">
        <v>364</v>
      </c>
      <c r="E176" s="30" t="s">
        <v>546</v>
      </c>
      <c r="F176" s="30" t="s">
        <v>547</v>
      </c>
      <c r="G176" s="30" t="s">
        <v>548</v>
      </c>
      <c r="H176" s="30" t="s">
        <v>549</v>
      </c>
      <c r="I176" s="30" t="s">
        <v>551</v>
      </c>
      <c r="J176" s="30" t="s">
        <v>553</v>
      </c>
      <c r="K176" s="30" t="s">
        <v>556</v>
      </c>
      <c r="L176" s="28" t="s">
        <v>67</v>
      </c>
      <c r="M176" s="28" t="s">
        <v>32</v>
      </c>
      <c r="N176" s="29" t="s">
        <v>67</v>
      </c>
      <c r="O176" s="29" t="s">
        <v>31</v>
      </c>
      <c r="P176" s="29" t="s">
        <v>30</v>
      </c>
      <c r="Q176" s="9"/>
      <c r="R176" s="9"/>
      <c r="S176" s="9"/>
      <c r="T176" s="9"/>
      <c r="U176" s="9"/>
      <c r="V176" s="9"/>
      <c r="W176" s="9"/>
      <c r="X176" s="9"/>
      <c r="Y176" s="9"/>
    </row>
    <row r="177" ht="15.75" hidden="1" customHeight="1">
      <c r="A177" s="25">
        <v>173.0</v>
      </c>
      <c r="B177" s="25" t="s">
        <v>1731</v>
      </c>
      <c r="C177" s="26" t="s">
        <v>450</v>
      </c>
      <c r="D177" s="27" t="s">
        <v>364</v>
      </c>
      <c r="E177" s="26" t="s">
        <v>1732</v>
      </c>
      <c r="F177" s="26" t="s">
        <v>1733</v>
      </c>
      <c r="G177" s="26" t="s">
        <v>1734</v>
      </c>
      <c r="H177" s="26" t="s">
        <v>1735</v>
      </c>
      <c r="I177" s="26" t="s">
        <v>1736</v>
      </c>
      <c r="J177" s="26" t="s">
        <v>1737</v>
      </c>
      <c r="K177" s="26" t="s">
        <v>1738</v>
      </c>
      <c r="L177" s="25" t="s">
        <v>44</v>
      </c>
      <c r="M177" s="25" t="s">
        <v>32</v>
      </c>
      <c r="N177" s="27" t="s">
        <v>44</v>
      </c>
      <c r="O177" s="27" t="s">
        <v>45</v>
      </c>
      <c r="P177" s="27"/>
      <c r="Q177" s="9"/>
      <c r="R177" s="9"/>
      <c r="S177" s="9"/>
      <c r="T177" s="9"/>
      <c r="U177" s="9"/>
      <c r="V177" s="9"/>
      <c r="W177" s="9"/>
      <c r="X177" s="9"/>
      <c r="Y177" s="9"/>
    </row>
    <row r="178" ht="15.75" hidden="1" customHeight="1">
      <c r="A178" s="28">
        <v>174.0</v>
      </c>
      <c r="B178" s="28" t="s">
        <v>2366</v>
      </c>
      <c r="C178" s="29" t="s">
        <v>1740</v>
      </c>
      <c r="D178" s="29" t="s">
        <v>1741</v>
      </c>
      <c r="E178" s="29" t="s">
        <v>2367</v>
      </c>
      <c r="F178" s="29" t="s">
        <v>1318</v>
      </c>
      <c r="G178" s="29" t="s">
        <v>1754</v>
      </c>
      <c r="H178" s="29" t="s">
        <v>2368</v>
      </c>
      <c r="I178" s="29" t="s">
        <v>2369</v>
      </c>
      <c r="J178" s="29" t="s">
        <v>2370</v>
      </c>
      <c r="K178" s="29" t="s">
        <v>2371</v>
      </c>
      <c r="L178" s="28" t="s">
        <v>98</v>
      </c>
      <c r="M178" s="28" t="s">
        <v>45</v>
      </c>
      <c r="N178" s="29" t="s">
        <v>98</v>
      </c>
      <c r="O178" s="29" t="s">
        <v>33</v>
      </c>
      <c r="P178" s="29" t="s">
        <v>98</v>
      </c>
      <c r="Q178" s="9"/>
      <c r="R178" s="9"/>
      <c r="S178" s="9"/>
      <c r="T178" s="9"/>
      <c r="U178" s="9"/>
      <c r="V178" s="9"/>
      <c r="W178" s="9"/>
      <c r="X178" s="9"/>
      <c r="Y178" s="9"/>
    </row>
    <row r="179" ht="15.75" hidden="1" customHeight="1">
      <c r="A179" s="25">
        <v>175.0</v>
      </c>
      <c r="B179" s="25" t="s">
        <v>2372</v>
      </c>
      <c r="C179" s="27" t="s">
        <v>1740</v>
      </c>
      <c r="D179" s="27" t="s">
        <v>1741</v>
      </c>
      <c r="E179" s="27" t="s">
        <v>2373</v>
      </c>
      <c r="F179" s="27" t="s">
        <v>2374</v>
      </c>
      <c r="G179" s="27" t="s">
        <v>1744</v>
      </c>
      <c r="H179" s="27" t="s">
        <v>2375</v>
      </c>
      <c r="I179" s="27" t="s">
        <v>2376</v>
      </c>
      <c r="J179" s="27" t="s">
        <v>2377</v>
      </c>
      <c r="K179" s="27" t="s">
        <v>2378</v>
      </c>
      <c r="L179" s="25" t="s">
        <v>98</v>
      </c>
      <c r="M179" s="25" t="s">
        <v>45</v>
      </c>
      <c r="N179" s="27" t="s">
        <v>98</v>
      </c>
      <c r="O179" s="27" t="s">
        <v>31</v>
      </c>
      <c r="P179" s="27" t="s">
        <v>98</v>
      </c>
      <c r="Q179" s="9"/>
      <c r="R179" s="9"/>
      <c r="S179" s="9"/>
      <c r="T179" s="9"/>
      <c r="U179" s="9"/>
      <c r="V179" s="9"/>
      <c r="W179" s="9"/>
      <c r="X179" s="9"/>
      <c r="Y179" s="9"/>
    </row>
    <row r="180" ht="15.75" customHeight="1">
      <c r="A180" s="28">
        <v>176.0</v>
      </c>
      <c r="B180" s="28" t="s">
        <v>1739</v>
      </c>
      <c r="C180" s="29" t="s">
        <v>1740</v>
      </c>
      <c r="D180" s="29" t="s">
        <v>1741</v>
      </c>
      <c r="E180" s="29" t="s">
        <v>1742</v>
      </c>
      <c r="F180" s="29" t="s">
        <v>1743</v>
      </c>
      <c r="G180" s="29" t="s">
        <v>1744</v>
      </c>
      <c r="H180" s="29" t="s">
        <v>1745</v>
      </c>
      <c r="I180" s="29" t="s">
        <v>1746</v>
      </c>
      <c r="J180" s="29" t="s">
        <v>1747</v>
      </c>
      <c r="K180" s="29" t="s">
        <v>1749</v>
      </c>
      <c r="L180" s="28" t="s">
        <v>98</v>
      </c>
      <c r="M180" s="28" t="s">
        <v>45</v>
      </c>
      <c r="N180" s="29" t="s">
        <v>98</v>
      </c>
      <c r="O180" s="29" t="s">
        <v>32</v>
      </c>
      <c r="P180" s="29"/>
      <c r="Q180" s="9"/>
      <c r="R180" s="9"/>
      <c r="S180" s="9"/>
      <c r="T180" s="9"/>
      <c r="U180" s="9"/>
      <c r="V180" s="9"/>
      <c r="W180" s="9"/>
      <c r="X180" s="9"/>
      <c r="Y180" s="9"/>
    </row>
    <row r="181" ht="15.75" hidden="1" customHeight="1">
      <c r="A181" s="25">
        <v>177.0</v>
      </c>
      <c r="B181" s="25" t="s">
        <v>1751</v>
      </c>
      <c r="C181" s="27" t="s">
        <v>1740</v>
      </c>
      <c r="D181" s="27" t="s">
        <v>1741</v>
      </c>
      <c r="E181" s="27" t="s">
        <v>1752</v>
      </c>
      <c r="F181" s="27" t="s">
        <v>1753</v>
      </c>
      <c r="G181" s="27" t="s">
        <v>1754</v>
      </c>
      <c r="H181" s="27" t="s">
        <v>1755</v>
      </c>
      <c r="I181" s="27" t="s">
        <v>1756</v>
      </c>
      <c r="J181" s="27" t="s">
        <v>1757</v>
      </c>
      <c r="K181" s="27" t="s">
        <v>1758</v>
      </c>
      <c r="L181" s="25" t="s">
        <v>98</v>
      </c>
      <c r="M181" s="25" t="s">
        <v>45</v>
      </c>
      <c r="N181" s="27" t="s">
        <v>98</v>
      </c>
      <c r="O181" s="27" t="s">
        <v>33</v>
      </c>
      <c r="P181" s="27" t="s">
        <v>98</v>
      </c>
      <c r="Q181" s="9"/>
      <c r="R181" s="9"/>
      <c r="S181" s="9"/>
      <c r="T181" s="9"/>
      <c r="U181" s="9"/>
      <c r="V181" s="9"/>
      <c r="W181" s="9"/>
      <c r="X181" s="9"/>
      <c r="Y181" s="9"/>
    </row>
    <row r="182" ht="15.75" hidden="1" customHeight="1">
      <c r="A182" s="28">
        <v>178.0</v>
      </c>
      <c r="B182" s="28" t="s">
        <v>1759</v>
      </c>
      <c r="C182" s="29" t="s">
        <v>1740</v>
      </c>
      <c r="D182" s="29" t="s">
        <v>1760</v>
      </c>
      <c r="E182" s="29" t="s">
        <v>1761</v>
      </c>
      <c r="F182" s="29" t="s">
        <v>1762</v>
      </c>
      <c r="G182" s="29" t="s">
        <v>1763</v>
      </c>
      <c r="H182" s="29" t="s">
        <v>1764</v>
      </c>
      <c r="I182" s="29" t="s">
        <v>1765</v>
      </c>
      <c r="J182" s="29" t="s">
        <v>1766</v>
      </c>
      <c r="K182" s="29" t="s">
        <v>1767</v>
      </c>
      <c r="L182" s="28" t="s">
        <v>98</v>
      </c>
      <c r="M182" s="28" t="s">
        <v>45</v>
      </c>
      <c r="N182" s="29" t="s">
        <v>98</v>
      </c>
      <c r="O182" s="29" t="s">
        <v>31</v>
      </c>
      <c r="P182" s="29" t="s">
        <v>98</v>
      </c>
      <c r="Q182" s="9"/>
      <c r="R182" s="9"/>
      <c r="S182" s="9"/>
      <c r="T182" s="9"/>
      <c r="U182" s="9"/>
      <c r="V182" s="9"/>
      <c r="W182" s="9"/>
      <c r="X182" s="9"/>
      <c r="Y182" s="9"/>
    </row>
    <row r="183" ht="15.75" customHeight="1">
      <c r="A183" s="25">
        <v>179.0</v>
      </c>
      <c r="B183" s="25" t="s">
        <v>1768</v>
      </c>
      <c r="C183" s="27" t="s">
        <v>1740</v>
      </c>
      <c r="D183" s="27" t="s">
        <v>1769</v>
      </c>
      <c r="E183" s="27" t="s">
        <v>1770</v>
      </c>
      <c r="F183" s="27" t="s">
        <v>1771</v>
      </c>
      <c r="G183" s="27" t="s">
        <v>1754</v>
      </c>
      <c r="H183" s="27" t="s">
        <v>1772</v>
      </c>
      <c r="I183" s="27" t="s">
        <v>1773</v>
      </c>
      <c r="J183" s="27" t="s">
        <v>1774</v>
      </c>
      <c r="K183" s="27" t="s">
        <v>1775</v>
      </c>
      <c r="L183" s="25" t="s">
        <v>98</v>
      </c>
      <c r="M183" s="25" t="s">
        <v>45</v>
      </c>
      <c r="N183" s="27" t="s">
        <v>98</v>
      </c>
      <c r="O183" s="27" t="s">
        <v>32</v>
      </c>
      <c r="P183" s="27"/>
      <c r="Q183" s="9"/>
      <c r="R183" s="9"/>
      <c r="S183" s="9"/>
      <c r="T183" s="9"/>
      <c r="U183" s="9"/>
      <c r="V183" s="9"/>
      <c r="W183" s="9"/>
      <c r="X183" s="9"/>
      <c r="Y183" s="9"/>
    </row>
    <row r="184" ht="15.75" hidden="1" customHeight="1">
      <c r="A184" s="28">
        <v>180.0</v>
      </c>
      <c r="B184" s="28" t="s">
        <v>1778</v>
      </c>
      <c r="C184" s="29" t="s">
        <v>1740</v>
      </c>
      <c r="D184" s="29" t="s">
        <v>1779</v>
      </c>
      <c r="E184" s="29" t="s">
        <v>1780</v>
      </c>
      <c r="F184" s="29" t="s">
        <v>1781</v>
      </c>
      <c r="G184" s="29" t="s">
        <v>1754</v>
      </c>
      <c r="H184" s="29" t="s">
        <v>1782</v>
      </c>
      <c r="I184" s="29" t="s">
        <v>1783</v>
      </c>
      <c r="J184" s="29" t="s">
        <v>1784</v>
      </c>
      <c r="K184" s="29" t="s">
        <v>1785</v>
      </c>
      <c r="L184" s="28" t="s">
        <v>44</v>
      </c>
      <c r="M184" s="28" t="s">
        <v>45</v>
      </c>
      <c r="N184" s="29" t="s">
        <v>44</v>
      </c>
      <c r="O184" s="29" t="s">
        <v>33</v>
      </c>
      <c r="P184" s="29" t="s">
        <v>44</v>
      </c>
      <c r="Q184" s="9"/>
      <c r="R184" s="9"/>
      <c r="S184" s="9"/>
      <c r="T184" s="9"/>
      <c r="U184" s="9"/>
      <c r="V184" s="9"/>
      <c r="W184" s="9"/>
      <c r="X184" s="9"/>
      <c r="Y184" s="9"/>
    </row>
    <row r="185" ht="15.75" hidden="1" customHeight="1">
      <c r="A185" s="25">
        <v>181.0</v>
      </c>
      <c r="B185" s="25" t="s">
        <v>1786</v>
      </c>
      <c r="C185" s="27" t="s">
        <v>1740</v>
      </c>
      <c r="D185" s="27" t="s">
        <v>1787</v>
      </c>
      <c r="E185" s="27" t="s">
        <v>1788</v>
      </c>
      <c r="F185" s="27" t="s">
        <v>1789</v>
      </c>
      <c r="G185" s="27" t="s">
        <v>1754</v>
      </c>
      <c r="H185" s="27" t="s">
        <v>1790</v>
      </c>
      <c r="I185" s="27" t="s">
        <v>1791</v>
      </c>
      <c r="J185" s="27" t="s">
        <v>1792</v>
      </c>
      <c r="K185" s="27" t="s">
        <v>1793</v>
      </c>
      <c r="L185" s="25" t="s">
        <v>98</v>
      </c>
      <c r="M185" s="25" t="s">
        <v>45</v>
      </c>
      <c r="N185" s="27" t="s">
        <v>98</v>
      </c>
      <c r="O185" s="27" t="s">
        <v>31</v>
      </c>
      <c r="P185" s="27" t="s">
        <v>30</v>
      </c>
      <c r="Q185" s="9"/>
      <c r="R185" s="9"/>
      <c r="S185" s="9"/>
      <c r="T185" s="9"/>
      <c r="U185" s="9"/>
      <c r="V185" s="9"/>
      <c r="W185" s="9"/>
      <c r="X185" s="9"/>
      <c r="Y185" s="9"/>
    </row>
    <row r="186" ht="15.75" customHeight="1">
      <c r="A186" s="28">
        <v>182.0</v>
      </c>
      <c r="B186" s="28" t="s">
        <v>1794</v>
      </c>
      <c r="C186" s="29" t="s">
        <v>1740</v>
      </c>
      <c r="D186" s="29" t="s">
        <v>1795</v>
      </c>
      <c r="E186" s="29" t="s">
        <v>1796</v>
      </c>
      <c r="F186" s="29" t="s">
        <v>1797</v>
      </c>
      <c r="G186" s="29" t="s">
        <v>1754</v>
      </c>
      <c r="H186" s="29" t="s">
        <v>1798</v>
      </c>
      <c r="I186" s="29" t="s">
        <v>1799</v>
      </c>
      <c r="J186" s="29" t="s">
        <v>1800</v>
      </c>
      <c r="K186" s="29" t="s">
        <v>1801</v>
      </c>
      <c r="L186" s="28" t="s">
        <v>98</v>
      </c>
      <c r="M186" s="28" t="s">
        <v>45</v>
      </c>
      <c r="N186" s="29" t="s">
        <v>98</v>
      </c>
      <c r="O186" s="29" t="s">
        <v>32</v>
      </c>
      <c r="P186" s="29"/>
      <c r="Q186" s="9"/>
      <c r="R186" s="9"/>
      <c r="S186" s="9"/>
      <c r="T186" s="9"/>
      <c r="U186" s="9"/>
      <c r="V186" s="9"/>
      <c r="W186" s="9"/>
      <c r="X186" s="9"/>
      <c r="Y186" s="9"/>
    </row>
    <row r="187" ht="15.75" hidden="1" customHeight="1">
      <c r="A187" s="25">
        <v>183.0</v>
      </c>
      <c r="B187" s="25" t="s">
        <v>1803</v>
      </c>
      <c r="C187" s="27" t="s">
        <v>1740</v>
      </c>
      <c r="D187" s="27" t="s">
        <v>1805</v>
      </c>
      <c r="E187" s="27" t="s">
        <v>1806</v>
      </c>
      <c r="F187" s="27" t="s">
        <v>1807</v>
      </c>
      <c r="G187" s="27" t="s">
        <v>1754</v>
      </c>
      <c r="H187" s="27" t="s">
        <v>1808</v>
      </c>
      <c r="I187" s="27" t="s">
        <v>1809</v>
      </c>
      <c r="J187" s="27" t="s">
        <v>1810</v>
      </c>
      <c r="K187" s="27" t="s">
        <v>1811</v>
      </c>
      <c r="L187" s="25" t="s">
        <v>98</v>
      </c>
      <c r="M187" s="25" t="s">
        <v>45</v>
      </c>
      <c r="N187" s="27" t="s">
        <v>98</v>
      </c>
      <c r="O187" s="27" t="s">
        <v>33</v>
      </c>
      <c r="P187" s="27" t="s">
        <v>98</v>
      </c>
      <c r="Q187" s="9"/>
      <c r="R187" s="9"/>
      <c r="S187" s="9"/>
      <c r="T187" s="9"/>
      <c r="U187" s="9"/>
      <c r="V187" s="9"/>
      <c r="W187" s="9"/>
      <c r="X187" s="9"/>
      <c r="Y187" s="9"/>
    </row>
    <row r="188" ht="15.75" hidden="1" customHeight="1">
      <c r="A188" s="28">
        <v>184.0</v>
      </c>
      <c r="B188" s="28" t="s">
        <v>1812</v>
      </c>
      <c r="C188" s="29" t="s">
        <v>1740</v>
      </c>
      <c r="D188" s="29" t="s">
        <v>1805</v>
      </c>
      <c r="E188" s="29" t="s">
        <v>1813</v>
      </c>
      <c r="F188" s="29" t="s">
        <v>1814</v>
      </c>
      <c r="G188" s="29" t="s">
        <v>1754</v>
      </c>
      <c r="H188" s="29" t="s">
        <v>1815</v>
      </c>
      <c r="I188" s="29" t="s">
        <v>1816</v>
      </c>
      <c r="J188" s="29" t="s">
        <v>1817</v>
      </c>
      <c r="K188" s="29" t="s">
        <v>1818</v>
      </c>
      <c r="L188" s="28" t="s">
        <v>98</v>
      </c>
      <c r="M188" s="28" t="s">
        <v>45</v>
      </c>
      <c r="N188" s="29" t="s">
        <v>56</v>
      </c>
      <c r="O188" s="29" t="s">
        <v>31</v>
      </c>
      <c r="P188" s="29" t="s">
        <v>30</v>
      </c>
      <c r="Q188" s="9"/>
      <c r="R188" s="9"/>
      <c r="S188" s="9"/>
      <c r="T188" s="9"/>
      <c r="U188" s="9"/>
      <c r="V188" s="9"/>
      <c r="W188" s="9"/>
      <c r="X188" s="9"/>
      <c r="Y188" s="9"/>
    </row>
    <row r="189" ht="15.75" customHeight="1">
      <c r="A189" s="25">
        <v>185.0</v>
      </c>
      <c r="B189" s="25" t="s">
        <v>1819</v>
      </c>
      <c r="C189" s="27" t="s">
        <v>1740</v>
      </c>
      <c r="D189" s="27" t="s">
        <v>1805</v>
      </c>
      <c r="E189" s="27" t="s">
        <v>1820</v>
      </c>
      <c r="F189" s="27" t="s">
        <v>1821</v>
      </c>
      <c r="G189" s="27" t="s">
        <v>1822</v>
      </c>
      <c r="H189" s="27" t="s">
        <v>1823</v>
      </c>
      <c r="I189" s="27" t="s">
        <v>1824</v>
      </c>
      <c r="J189" s="27" t="s">
        <v>1825</v>
      </c>
      <c r="K189" s="27" t="s">
        <v>1826</v>
      </c>
      <c r="L189" s="25" t="s">
        <v>98</v>
      </c>
      <c r="M189" s="25" t="s">
        <v>45</v>
      </c>
      <c r="N189" s="27" t="s">
        <v>98</v>
      </c>
      <c r="O189" s="27" t="s">
        <v>32</v>
      </c>
      <c r="P189" s="27"/>
      <c r="Q189" s="9"/>
      <c r="R189" s="9"/>
      <c r="S189" s="9"/>
      <c r="T189" s="9"/>
      <c r="U189" s="9"/>
      <c r="V189" s="9"/>
      <c r="W189" s="9"/>
      <c r="X189" s="9"/>
      <c r="Y189" s="9"/>
    </row>
    <row r="190" ht="15.75" hidden="1" customHeight="1">
      <c r="A190" s="28">
        <v>186.0</v>
      </c>
      <c r="B190" s="28" t="s">
        <v>1829</v>
      </c>
      <c r="C190" s="29" t="s">
        <v>661</v>
      </c>
      <c r="D190" s="29" t="s">
        <v>364</v>
      </c>
      <c r="E190" s="29" t="s">
        <v>1831</v>
      </c>
      <c r="F190" s="29" t="s">
        <v>1833</v>
      </c>
      <c r="G190" s="29" t="s">
        <v>1834</v>
      </c>
      <c r="H190" s="29" t="s">
        <v>1835</v>
      </c>
      <c r="I190" s="29" t="s">
        <v>1836</v>
      </c>
      <c r="J190" s="29" t="s">
        <v>1837</v>
      </c>
      <c r="K190" s="29" t="s">
        <v>1838</v>
      </c>
      <c r="L190" s="29" t="s">
        <v>67</v>
      </c>
      <c r="M190" s="28" t="s">
        <v>32</v>
      </c>
      <c r="N190" s="29" t="s">
        <v>67</v>
      </c>
      <c r="O190" s="29" t="s">
        <v>33</v>
      </c>
      <c r="P190" s="29" t="s">
        <v>67</v>
      </c>
      <c r="Q190" s="9"/>
      <c r="R190" s="9"/>
      <c r="S190" s="9"/>
      <c r="T190" s="9"/>
      <c r="U190" s="9"/>
      <c r="V190" s="9"/>
      <c r="W190" s="9"/>
      <c r="X190" s="9"/>
      <c r="Y190" s="9"/>
    </row>
    <row r="191" ht="15.75" hidden="1" customHeight="1">
      <c r="A191" s="25">
        <v>187.0</v>
      </c>
      <c r="B191" s="25" t="s">
        <v>1839</v>
      </c>
      <c r="C191" s="27" t="s">
        <v>661</v>
      </c>
      <c r="D191" s="27" t="s">
        <v>364</v>
      </c>
      <c r="E191" s="27" t="s">
        <v>1840</v>
      </c>
      <c r="F191" s="27" t="s">
        <v>1841</v>
      </c>
      <c r="G191" s="27" t="s">
        <v>1842</v>
      </c>
      <c r="H191" s="27" t="s">
        <v>1843</v>
      </c>
      <c r="I191" s="27" t="s">
        <v>1844</v>
      </c>
      <c r="J191" s="27" t="s">
        <v>1845</v>
      </c>
      <c r="K191" s="27" t="s">
        <v>1846</v>
      </c>
      <c r="L191" s="25" t="s">
        <v>56</v>
      </c>
      <c r="M191" s="25" t="s">
        <v>32</v>
      </c>
      <c r="N191" s="27" t="s">
        <v>67</v>
      </c>
      <c r="O191" s="27" t="s">
        <v>31</v>
      </c>
      <c r="P191" s="27" t="s">
        <v>67</v>
      </c>
      <c r="Q191" s="9"/>
      <c r="R191" s="9"/>
      <c r="S191" s="9"/>
      <c r="T191" s="9"/>
      <c r="U191" s="9"/>
      <c r="V191" s="9"/>
      <c r="W191" s="9"/>
      <c r="X191" s="9"/>
      <c r="Y191" s="9"/>
    </row>
    <row r="192" ht="15.75" hidden="1" customHeight="1">
      <c r="A192" s="28">
        <v>188.0</v>
      </c>
      <c r="B192" s="28" t="s">
        <v>659</v>
      </c>
      <c r="C192" s="29" t="s">
        <v>661</v>
      </c>
      <c r="D192" s="29" t="s">
        <v>364</v>
      </c>
      <c r="E192" s="29" t="s">
        <v>663</v>
      </c>
      <c r="F192" s="29" t="s">
        <v>664</v>
      </c>
      <c r="G192" s="29" t="s">
        <v>666</v>
      </c>
      <c r="H192" s="29" t="s">
        <v>667</v>
      </c>
      <c r="I192" s="29" t="s">
        <v>668</v>
      </c>
      <c r="J192" s="29" t="s">
        <v>669</v>
      </c>
      <c r="K192" s="29" t="s">
        <v>670</v>
      </c>
      <c r="L192" s="28" t="s">
        <v>67</v>
      </c>
      <c r="M192" s="28" t="s">
        <v>32</v>
      </c>
      <c r="N192" s="29" t="s">
        <v>56</v>
      </c>
      <c r="O192" s="29" t="s">
        <v>45</v>
      </c>
      <c r="P192" s="29"/>
      <c r="Q192" s="9"/>
      <c r="R192" s="9"/>
      <c r="S192" s="9"/>
      <c r="T192" s="9"/>
      <c r="U192" s="9"/>
      <c r="V192" s="9"/>
      <c r="W192" s="9"/>
      <c r="X192" s="9"/>
      <c r="Y192" s="9"/>
    </row>
    <row r="193" ht="15.75" hidden="1" customHeight="1">
      <c r="A193" s="25">
        <v>189.0</v>
      </c>
      <c r="B193" s="25" t="s">
        <v>1857</v>
      </c>
      <c r="C193" s="27" t="s">
        <v>661</v>
      </c>
      <c r="D193" s="27" t="s">
        <v>364</v>
      </c>
      <c r="E193" s="27" t="s">
        <v>1858</v>
      </c>
      <c r="F193" s="27" t="s">
        <v>1859</v>
      </c>
      <c r="G193" s="27" t="s">
        <v>1860</v>
      </c>
      <c r="H193" s="27" t="s">
        <v>1861</v>
      </c>
      <c r="I193" s="27" t="s">
        <v>1862</v>
      </c>
      <c r="J193" s="27" t="s">
        <v>1863</v>
      </c>
      <c r="K193" s="27" t="s">
        <v>1864</v>
      </c>
      <c r="L193" s="25" t="s">
        <v>67</v>
      </c>
      <c r="M193" s="25" t="s">
        <v>32</v>
      </c>
      <c r="N193" s="27" t="s">
        <v>67</v>
      </c>
      <c r="O193" s="27" t="s">
        <v>33</v>
      </c>
      <c r="P193" s="27" t="s">
        <v>67</v>
      </c>
      <c r="Q193" s="9"/>
      <c r="R193" s="9"/>
      <c r="S193" s="9"/>
      <c r="T193" s="9"/>
      <c r="U193" s="9"/>
      <c r="V193" s="9"/>
      <c r="W193" s="9"/>
      <c r="X193" s="9"/>
      <c r="Y193" s="9"/>
    </row>
    <row r="194" ht="15.75" hidden="1" customHeight="1">
      <c r="A194" s="28">
        <v>190.0</v>
      </c>
      <c r="B194" s="28" t="s">
        <v>678</v>
      </c>
      <c r="C194" s="29" t="s">
        <v>661</v>
      </c>
      <c r="D194" s="29" t="s">
        <v>364</v>
      </c>
      <c r="E194" s="29" t="s">
        <v>680</v>
      </c>
      <c r="F194" s="29" t="s">
        <v>682</v>
      </c>
      <c r="G194" s="29" t="s">
        <v>684</v>
      </c>
      <c r="H194" s="29" t="s">
        <v>686</v>
      </c>
      <c r="I194" s="29" t="s">
        <v>689</v>
      </c>
      <c r="J194" s="29" t="s">
        <v>693</v>
      </c>
      <c r="K194" s="29" t="s">
        <v>696</v>
      </c>
      <c r="L194" s="28" t="s">
        <v>30</v>
      </c>
      <c r="M194" s="28" t="s">
        <v>32</v>
      </c>
      <c r="N194" s="29" t="s">
        <v>30</v>
      </c>
      <c r="O194" s="29" t="s">
        <v>31</v>
      </c>
      <c r="P194" s="29" t="s">
        <v>30</v>
      </c>
      <c r="Q194" s="9"/>
      <c r="R194" s="9"/>
      <c r="S194" s="9"/>
      <c r="T194" s="9"/>
      <c r="U194" s="9"/>
      <c r="V194" s="9"/>
      <c r="W194" s="9"/>
      <c r="X194" s="9"/>
      <c r="Y194" s="9"/>
    </row>
    <row r="195" ht="15.75" hidden="1" customHeight="1">
      <c r="A195" s="25">
        <v>191.0</v>
      </c>
      <c r="B195" s="25" t="s">
        <v>890</v>
      </c>
      <c r="C195" s="27" t="s">
        <v>661</v>
      </c>
      <c r="D195" s="27" t="s">
        <v>364</v>
      </c>
      <c r="E195" s="27" t="s">
        <v>891</v>
      </c>
      <c r="F195" s="27" t="s">
        <v>892</v>
      </c>
      <c r="G195" s="27" t="s">
        <v>893</v>
      </c>
      <c r="H195" s="27" t="s">
        <v>894</v>
      </c>
      <c r="I195" s="27" t="s">
        <v>895</v>
      </c>
      <c r="J195" s="27" t="s">
        <v>896</v>
      </c>
      <c r="K195" s="27" t="s">
        <v>897</v>
      </c>
      <c r="L195" s="25" t="s">
        <v>67</v>
      </c>
      <c r="M195" s="25" t="s">
        <v>32</v>
      </c>
      <c r="N195" s="27" t="s">
        <v>67</v>
      </c>
      <c r="O195" s="27" t="s">
        <v>45</v>
      </c>
      <c r="P195" s="27"/>
      <c r="Q195" s="9"/>
      <c r="R195" s="9"/>
      <c r="S195" s="9"/>
      <c r="T195" s="9"/>
      <c r="U195" s="9"/>
      <c r="V195" s="9"/>
      <c r="W195" s="9"/>
      <c r="X195" s="9"/>
      <c r="Y195" s="9"/>
    </row>
    <row r="196" ht="15.75" hidden="1" customHeight="1">
      <c r="A196" s="28">
        <v>192.0</v>
      </c>
      <c r="B196" s="28" t="s">
        <v>1885</v>
      </c>
      <c r="C196" s="29" t="s">
        <v>661</v>
      </c>
      <c r="D196" s="29" t="s">
        <v>364</v>
      </c>
      <c r="E196" s="29" t="s">
        <v>1886</v>
      </c>
      <c r="F196" s="29" t="s">
        <v>1887</v>
      </c>
      <c r="G196" s="29" t="s">
        <v>1888</v>
      </c>
      <c r="H196" s="29" t="s">
        <v>1889</v>
      </c>
      <c r="I196" s="29" t="s">
        <v>1890</v>
      </c>
      <c r="J196" s="29" t="s">
        <v>1891</v>
      </c>
      <c r="K196" s="29" t="s">
        <v>1892</v>
      </c>
      <c r="L196" s="28" t="s">
        <v>44</v>
      </c>
      <c r="M196" s="28" t="s">
        <v>32</v>
      </c>
      <c r="N196" s="29" t="s">
        <v>67</v>
      </c>
      <c r="O196" s="29" t="s">
        <v>33</v>
      </c>
      <c r="P196" s="29" t="s">
        <v>67</v>
      </c>
      <c r="Q196" s="9"/>
      <c r="R196" s="9"/>
      <c r="S196" s="9"/>
      <c r="T196" s="9"/>
      <c r="U196" s="9"/>
      <c r="V196" s="9"/>
      <c r="W196" s="9"/>
      <c r="X196" s="9"/>
      <c r="Y196" s="9"/>
    </row>
    <row r="197" ht="15.75" hidden="1" customHeight="1">
      <c r="A197" s="25">
        <v>193.0</v>
      </c>
      <c r="B197" s="25" t="s">
        <v>1898</v>
      </c>
      <c r="C197" s="27" t="s">
        <v>661</v>
      </c>
      <c r="D197" s="27" t="s">
        <v>364</v>
      </c>
      <c r="E197" s="27" t="s">
        <v>1899</v>
      </c>
      <c r="F197" s="27" t="s">
        <v>1900</v>
      </c>
      <c r="G197" s="27" t="s">
        <v>1901</v>
      </c>
      <c r="H197" s="27" t="s">
        <v>1902</v>
      </c>
      <c r="I197" s="27" t="s">
        <v>1903</v>
      </c>
      <c r="J197" s="27" t="s">
        <v>1904</v>
      </c>
      <c r="K197" s="27" t="s">
        <v>1905</v>
      </c>
      <c r="L197" s="25" t="s">
        <v>67</v>
      </c>
      <c r="M197" s="25" t="s">
        <v>32</v>
      </c>
      <c r="N197" s="27" t="s">
        <v>67</v>
      </c>
      <c r="O197" s="27" t="s">
        <v>31</v>
      </c>
      <c r="P197" s="27" t="s">
        <v>67</v>
      </c>
      <c r="Q197" s="9"/>
      <c r="R197" s="9"/>
      <c r="S197" s="9"/>
      <c r="T197" s="9"/>
      <c r="U197" s="9"/>
      <c r="V197" s="9"/>
      <c r="W197" s="9"/>
      <c r="X197" s="9"/>
      <c r="Y197" s="9"/>
    </row>
    <row r="198" ht="15.75" hidden="1" customHeight="1">
      <c r="A198" s="28">
        <v>194.0</v>
      </c>
      <c r="B198" s="28" t="s">
        <v>913</v>
      </c>
      <c r="C198" s="29" t="s">
        <v>915</v>
      </c>
      <c r="D198" s="29" t="s">
        <v>364</v>
      </c>
      <c r="E198" s="29" t="s">
        <v>917</v>
      </c>
      <c r="F198" s="29" t="s">
        <v>918</v>
      </c>
      <c r="G198" s="29" t="s">
        <v>920</v>
      </c>
      <c r="H198" s="29" t="s">
        <v>921</v>
      </c>
      <c r="I198" s="29" t="s">
        <v>922</v>
      </c>
      <c r="J198" s="29" t="s">
        <v>923</v>
      </c>
      <c r="K198" s="29" t="s">
        <v>924</v>
      </c>
      <c r="L198" s="28" t="s">
        <v>67</v>
      </c>
      <c r="M198" s="28" t="s">
        <v>32</v>
      </c>
      <c r="N198" s="29" t="s">
        <v>44</v>
      </c>
      <c r="O198" s="29" t="s">
        <v>45</v>
      </c>
      <c r="P198" s="29"/>
      <c r="Q198" s="9"/>
      <c r="R198" s="9"/>
      <c r="S198" s="9"/>
      <c r="T198" s="9"/>
      <c r="U198" s="9"/>
      <c r="V198" s="9"/>
      <c r="W198" s="9"/>
      <c r="X198" s="9"/>
      <c r="Y198" s="9"/>
    </row>
    <row r="199" ht="15.75" hidden="1" customHeight="1">
      <c r="A199" s="25">
        <v>195.0</v>
      </c>
      <c r="B199" s="25" t="s">
        <v>1915</v>
      </c>
      <c r="C199" s="27" t="s">
        <v>915</v>
      </c>
      <c r="D199" s="27" t="s">
        <v>364</v>
      </c>
      <c r="E199" s="27" t="s">
        <v>1916</v>
      </c>
      <c r="F199" s="27" t="s">
        <v>1917</v>
      </c>
      <c r="G199" s="27" t="s">
        <v>1918</v>
      </c>
      <c r="H199" s="27" t="s">
        <v>1919</v>
      </c>
      <c r="I199" s="27" t="s">
        <v>1921</v>
      </c>
      <c r="J199" s="27" t="s">
        <v>1923</v>
      </c>
      <c r="K199" s="27" t="s">
        <v>1924</v>
      </c>
      <c r="L199" s="25" t="s">
        <v>67</v>
      </c>
      <c r="M199" s="25" t="s">
        <v>32</v>
      </c>
      <c r="N199" s="27" t="s">
        <v>67</v>
      </c>
      <c r="O199" s="27" t="s">
        <v>33</v>
      </c>
      <c r="P199" s="27" t="s">
        <v>67</v>
      </c>
      <c r="Q199" s="9"/>
      <c r="R199" s="9"/>
      <c r="S199" s="9"/>
      <c r="T199" s="9"/>
      <c r="U199" s="9"/>
      <c r="V199" s="9"/>
      <c r="W199" s="9"/>
      <c r="X199" s="9"/>
      <c r="Y199" s="9"/>
    </row>
    <row r="200" ht="15.75" hidden="1" customHeight="1">
      <c r="A200" s="28">
        <v>196.0</v>
      </c>
      <c r="B200" s="28" t="s">
        <v>942</v>
      </c>
      <c r="C200" s="29" t="s">
        <v>915</v>
      </c>
      <c r="D200" s="29" t="s">
        <v>364</v>
      </c>
      <c r="E200" s="29" t="s">
        <v>943</v>
      </c>
      <c r="F200" s="29" t="s">
        <v>944</v>
      </c>
      <c r="G200" s="29" t="s">
        <v>945</v>
      </c>
      <c r="H200" s="29" t="s">
        <v>946</v>
      </c>
      <c r="I200" s="29" t="s">
        <v>947</v>
      </c>
      <c r="J200" s="29" t="s">
        <v>948</v>
      </c>
      <c r="K200" s="29" t="s">
        <v>949</v>
      </c>
      <c r="L200" s="28" t="s">
        <v>44</v>
      </c>
      <c r="M200" s="28" t="s">
        <v>32</v>
      </c>
      <c r="N200" s="29" t="s">
        <v>56</v>
      </c>
      <c r="O200" s="29" t="s">
        <v>31</v>
      </c>
      <c r="P200" s="29" t="s">
        <v>67</v>
      </c>
      <c r="Q200" s="9"/>
      <c r="R200" s="9"/>
      <c r="S200" s="9"/>
      <c r="T200" s="9"/>
      <c r="U200" s="9"/>
      <c r="V200" s="9"/>
      <c r="W200" s="9"/>
      <c r="X200" s="9"/>
      <c r="Y200" s="9"/>
    </row>
    <row r="201" ht="15.75" hidden="1" customHeight="1">
      <c r="A201" s="25">
        <v>197.0</v>
      </c>
      <c r="B201" s="25" t="s">
        <v>2397</v>
      </c>
      <c r="C201" s="27" t="s">
        <v>661</v>
      </c>
      <c r="D201" s="27" t="s">
        <v>364</v>
      </c>
      <c r="E201" s="27" t="s">
        <v>1831</v>
      </c>
      <c r="F201" s="27" t="s">
        <v>1833</v>
      </c>
      <c r="G201" s="27" t="s">
        <v>1834</v>
      </c>
      <c r="H201" s="27" t="s">
        <v>1835</v>
      </c>
      <c r="I201" s="27" t="s">
        <v>1836</v>
      </c>
      <c r="J201" s="27" t="s">
        <v>1837</v>
      </c>
      <c r="K201" s="27" t="s">
        <v>1838</v>
      </c>
      <c r="L201" s="25" t="s">
        <v>56</v>
      </c>
      <c r="M201" s="25" t="s">
        <v>32</v>
      </c>
      <c r="N201" s="27" t="s">
        <v>30</v>
      </c>
      <c r="O201" s="27" t="s">
        <v>45</v>
      </c>
      <c r="P201" s="27"/>
      <c r="Q201" s="9"/>
      <c r="R201" s="9"/>
      <c r="S201" s="9"/>
      <c r="T201" s="9"/>
      <c r="U201" s="9"/>
      <c r="V201" s="9"/>
      <c r="W201" s="9"/>
      <c r="X201" s="9"/>
      <c r="Y201" s="9"/>
    </row>
    <row r="202" ht="15.75" hidden="1" customHeight="1">
      <c r="A202" s="28">
        <v>198.0</v>
      </c>
      <c r="B202" s="28" t="s">
        <v>2398</v>
      </c>
      <c r="C202" s="29" t="s">
        <v>661</v>
      </c>
      <c r="D202" s="29" t="s">
        <v>364</v>
      </c>
      <c r="E202" s="29" t="s">
        <v>663</v>
      </c>
      <c r="F202" s="29" t="s">
        <v>664</v>
      </c>
      <c r="G202" s="29" t="s">
        <v>666</v>
      </c>
      <c r="H202" s="29" t="s">
        <v>667</v>
      </c>
      <c r="I202" s="29" t="s">
        <v>668</v>
      </c>
      <c r="J202" s="29" t="s">
        <v>669</v>
      </c>
      <c r="K202" s="29" t="s">
        <v>670</v>
      </c>
      <c r="L202" s="28" t="s">
        <v>30</v>
      </c>
      <c r="M202" s="28" t="s">
        <v>32</v>
      </c>
      <c r="N202" s="29" t="s">
        <v>67</v>
      </c>
      <c r="O202" s="29" t="s">
        <v>33</v>
      </c>
      <c r="P202" s="29" t="s">
        <v>30</v>
      </c>
      <c r="Q202" s="9"/>
      <c r="R202" s="9"/>
      <c r="S202" s="9"/>
      <c r="T202" s="9"/>
      <c r="U202" s="9"/>
      <c r="V202" s="9"/>
      <c r="W202" s="9"/>
      <c r="X202" s="9"/>
      <c r="Y202" s="9"/>
    </row>
    <row r="203" ht="15.75" hidden="1" customHeight="1">
      <c r="A203" s="25">
        <v>199.0</v>
      </c>
      <c r="B203" s="25" t="s">
        <v>2402</v>
      </c>
      <c r="C203" s="27" t="s">
        <v>661</v>
      </c>
      <c r="D203" s="27" t="s">
        <v>364</v>
      </c>
      <c r="E203" s="27" t="s">
        <v>680</v>
      </c>
      <c r="F203" s="27" t="s">
        <v>682</v>
      </c>
      <c r="G203" s="27" t="s">
        <v>684</v>
      </c>
      <c r="H203" s="27" t="s">
        <v>686</v>
      </c>
      <c r="I203" s="27" t="s">
        <v>689</v>
      </c>
      <c r="J203" s="27" t="s">
        <v>693</v>
      </c>
      <c r="K203" s="27" t="s">
        <v>696</v>
      </c>
      <c r="L203" s="25" t="s">
        <v>30</v>
      </c>
      <c r="M203" s="25" t="s">
        <v>32</v>
      </c>
      <c r="N203" s="27" t="s">
        <v>30</v>
      </c>
      <c r="O203" s="27" t="s">
        <v>31</v>
      </c>
      <c r="P203" s="27" t="s">
        <v>30</v>
      </c>
      <c r="Q203" s="9"/>
      <c r="R203" s="9"/>
      <c r="S203" s="9"/>
      <c r="T203" s="9"/>
      <c r="U203" s="9"/>
      <c r="V203" s="9"/>
      <c r="W203" s="9"/>
      <c r="X203" s="9"/>
      <c r="Y203" s="9"/>
    </row>
    <row r="204" ht="15.75" hidden="1" customHeight="1">
      <c r="A204" s="28">
        <v>200.0</v>
      </c>
      <c r="B204" s="28" t="s">
        <v>2403</v>
      </c>
      <c r="C204" s="29" t="s">
        <v>661</v>
      </c>
      <c r="D204" s="29" t="s">
        <v>364</v>
      </c>
      <c r="E204" s="29" t="s">
        <v>891</v>
      </c>
      <c r="F204" s="29" t="s">
        <v>892</v>
      </c>
      <c r="G204" s="29" t="s">
        <v>893</v>
      </c>
      <c r="H204" s="29" t="s">
        <v>894</v>
      </c>
      <c r="I204" s="29" t="s">
        <v>895</v>
      </c>
      <c r="J204" s="29" t="s">
        <v>896</v>
      </c>
      <c r="K204" s="29" t="s">
        <v>897</v>
      </c>
      <c r="L204" s="28" t="s">
        <v>67</v>
      </c>
      <c r="M204" s="28" t="s">
        <v>32</v>
      </c>
      <c r="N204" s="29" t="s">
        <v>67</v>
      </c>
      <c r="O204" s="29" t="s">
        <v>45</v>
      </c>
      <c r="P204" s="29"/>
      <c r="Q204" s="9"/>
      <c r="R204" s="9"/>
      <c r="S204" s="9"/>
      <c r="T204" s="9"/>
      <c r="U204" s="9"/>
      <c r="V204" s="9"/>
      <c r="W204" s="9"/>
      <c r="X204" s="9"/>
      <c r="Y204" s="9"/>
    </row>
    <row r="205" ht="15.75" hidden="1" customHeight="1">
      <c r="A205" s="25">
        <v>201.0</v>
      </c>
      <c r="B205" s="25" t="s">
        <v>2407</v>
      </c>
      <c r="C205" s="27" t="s">
        <v>661</v>
      </c>
      <c r="D205" s="27" t="s">
        <v>364</v>
      </c>
      <c r="E205" s="27" t="s">
        <v>1886</v>
      </c>
      <c r="F205" s="27" t="s">
        <v>1887</v>
      </c>
      <c r="G205" s="27" t="s">
        <v>1888</v>
      </c>
      <c r="H205" s="27" t="s">
        <v>1889</v>
      </c>
      <c r="I205" s="27" t="s">
        <v>1890</v>
      </c>
      <c r="J205" s="27" t="s">
        <v>1891</v>
      </c>
      <c r="K205" s="27" t="s">
        <v>1892</v>
      </c>
      <c r="L205" s="25" t="s">
        <v>67</v>
      </c>
      <c r="M205" s="25" t="s">
        <v>32</v>
      </c>
      <c r="N205" s="27" t="s">
        <v>67</v>
      </c>
      <c r="O205" s="27" t="s">
        <v>33</v>
      </c>
      <c r="P205" s="27" t="s">
        <v>67</v>
      </c>
      <c r="Q205" s="9"/>
      <c r="R205" s="9"/>
      <c r="S205" s="9"/>
      <c r="T205" s="9"/>
      <c r="U205" s="9"/>
      <c r="V205" s="9"/>
      <c r="W205" s="9"/>
      <c r="X205" s="9"/>
      <c r="Y205" s="9"/>
    </row>
    <row r="206" ht="15.75" hidden="1" customHeight="1">
      <c r="A206" s="28">
        <v>202.0</v>
      </c>
      <c r="B206" s="28" t="s">
        <v>2411</v>
      </c>
      <c r="C206" s="29" t="s">
        <v>661</v>
      </c>
      <c r="D206" s="29" t="s">
        <v>364</v>
      </c>
      <c r="E206" s="29" t="s">
        <v>1899</v>
      </c>
      <c r="F206" s="29" t="s">
        <v>1900</v>
      </c>
      <c r="G206" s="29" t="s">
        <v>1901</v>
      </c>
      <c r="H206" s="29" t="s">
        <v>1902</v>
      </c>
      <c r="I206" s="29" t="s">
        <v>1903</v>
      </c>
      <c r="J206" s="29" t="s">
        <v>1904</v>
      </c>
      <c r="K206" s="29" t="s">
        <v>1905</v>
      </c>
      <c r="L206" s="28" t="s">
        <v>67</v>
      </c>
      <c r="M206" s="28" t="s">
        <v>32</v>
      </c>
      <c r="N206" s="29" t="s">
        <v>67</v>
      </c>
      <c r="O206" s="29" t="s">
        <v>31</v>
      </c>
      <c r="P206" s="29" t="s">
        <v>67</v>
      </c>
      <c r="Q206" s="9"/>
      <c r="R206" s="9"/>
      <c r="S206" s="9"/>
      <c r="T206" s="9"/>
      <c r="U206" s="9"/>
      <c r="V206" s="9"/>
      <c r="W206" s="9"/>
      <c r="X206" s="9"/>
      <c r="Y206" s="9"/>
    </row>
    <row r="207" ht="15.75" hidden="1" customHeight="1">
      <c r="A207" s="25">
        <v>203.0</v>
      </c>
      <c r="B207" s="25" t="s">
        <v>2412</v>
      </c>
      <c r="C207" s="27" t="s">
        <v>2413</v>
      </c>
      <c r="D207" s="27" t="s">
        <v>364</v>
      </c>
      <c r="E207" s="27" t="s">
        <v>917</v>
      </c>
      <c r="F207" s="27" t="s">
        <v>918</v>
      </c>
      <c r="G207" s="27" t="s">
        <v>920</v>
      </c>
      <c r="H207" s="27" t="s">
        <v>921</v>
      </c>
      <c r="I207" s="27" t="s">
        <v>922</v>
      </c>
      <c r="J207" s="27" t="s">
        <v>923</v>
      </c>
      <c r="K207" s="27" t="s">
        <v>924</v>
      </c>
      <c r="L207" s="25" t="s">
        <v>67</v>
      </c>
      <c r="M207" s="25" t="s">
        <v>32</v>
      </c>
      <c r="N207" s="27" t="s">
        <v>44</v>
      </c>
      <c r="O207" s="27" t="s">
        <v>45</v>
      </c>
      <c r="P207" s="27"/>
      <c r="Q207" s="9"/>
      <c r="R207" s="9"/>
      <c r="S207" s="9"/>
      <c r="T207" s="9"/>
      <c r="U207" s="9"/>
      <c r="V207" s="9"/>
      <c r="W207" s="9"/>
      <c r="X207" s="9"/>
      <c r="Y207" s="9"/>
    </row>
    <row r="208" ht="15.75" hidden="1" customHeight="1">
      <c r="A208" s="28">
        <v>204.0</v>
      </c>
      <c r="B208" s="28" t="s">
        <v>2415</v>
      </c>
      <c r="C208" s="29" t="s">
        <v>2413</v>
      </c>
      <c r="D208" s="29" t="s">
        <v>364</v>
      </c>
      <c r="E208" s="29" t="s">
        <v>1916</v>
      </c>
      <c r="F208" s="29" t="s">
        <v>1917</v>
      </c>
      <c r="G208" s="29" t="s">
        <v>1918</v>
      </c>
      <c r="H208" s="29" t="s">
        <v>1919</v>
      </c>
      <c r="I208" s="29" t="s">
        <v>1921</v>
      </c>
      <c r="J208" s="29" t="s">
        <v>1923</v>
      </c>
      <c r="K208" s="29" t="s">
        <v>1924</v>
      </c>
      <c r="L208" s="28" t="s">
        <v>67</v>
      </c>
      <c r="M208" s="28" t="s">
        <v>32</v>
      </c>
      <c r="N208" s="29" t="s">
        <v>67</v>
      </c>
      <c r="O208" s="29" t="s">
        <v>33</v>
      </c>
      <c r="P208" s="29" t="s">
        <v>67</v>
      </c>
      <c r="Q208" s="9"/>
      <c r="R208" s="9"/>
      <c r="S208" s="9"/>
      <c r="T208" s="9"/>
      <c r="U208" s="9"/>
      <c r="V208" s="9"/>
      <c r="W208" s="9"/>
      <c r="X208" s="9"/>
      <c r="Y208" s="9"/>
    </row>
    <row r="209" ht="15.75" hidden="1" customHeight="1">
      <c r="A209" s="25">
        <v>205.0</v>
      </c>
      <c r="B209" s="25" t="s">
        <v>2417</v>
      </c>
      <c r="C209" s="27" t="s">
        <v>2418</v>
      </c>
      <c r="D209" s="27" t="s">
        <v>364</v>
      </c>
      <c r="E209" s="27" t="s">
        <v>943</v>
      </c>
      <c r="F209" s="27" t="s">
        <v>944</v>
      </c>
      <c r="G209" s="27" t="s">
        <v>945</v>
      </c>
      <c r="H209" s="27" t="s">
        <v>946</v>
      </c>
      <c r="I209" s="27" t="s">
        <v>947</v>
      </c>
      <c r="J209" s="27" t="s">
        <v>948</v>
      </c>
      <c r="K209" s="27" t="s">
        <v>949</v>
      </c>
      <c r="L209" s="25" t="s">
        <v>67</v>
      </c>
      <c r="M209" s="25" t="s">
        <v>32</v>
      </c>
      <c r="N209" s="27" t="s">
        <v>44</v>
      </c>
      <c r="O209" s="27" t="s">
        <v>31</v>
      </c>
      <c r="P209" s="27" t="s">
        <v>67</v>
      </c>
      <c r="Q209" s="9"/>
      <c r="R209" s="9"/>
      <c r="S209" s="9"/>
      <c r="T209" s="9"/>
      <c r="U209" s="9"/>
      <c r="V209" s="9"/>
      <c r="W209" s="9"/>
      <c r="X209" s="9"/>
      <c r="Y209" s="9"/>
    </row>
    <row r="210" ht="15.75" hidden="1" customHeight="1">
      <c r="A210" s="28">
        <v>206.0</v>
      </c>
      <c r="B210" s="28" t="s">
        <v>1934</v>
      </c>
      <c r="C210" s="29" t="s">
        <v>661</v>
      </c>
      <c r="D210" s="29" t="s">
        <v>364</v>
      </c>
      <c r="E210" s="29" t="s">
        <v>1935</v>
      </c>
      <c r="F210" s="29" t="s">
        <v>1936</v>
      </c>
      <c r="G210" s="29" t="s">
        <v>1937</v>
      </c>
      <c r="H210" s="29" t="s">
        <v>1938</v>
      </c>
      <c r="I210" s="29" t="s">
        <v>1939</v>
      </c>
      <c r="J210" s="29" t="s">
        <v>1940</v>
      </c>
      <c r="K210" s="29" t="s">
        <v>1941</v>
      </c>
      <c r="L210" s="28" t="s">
        <v>44</v>
      </c>
      <c r="M210" s="28" t="s">
        <v>32</v>
      </c>
      <c r="N210" s="29" t="s">
        <v>44</v>
      </c>
      <c r="O210" s="29" t="s">
        <v>45</v>
      </c>
      <c r="P210" s="29"/>
      <c r="Q210" s="9"/>
      <c r="R210" s="9"/>
      <c r="S210" s="9"/>
      <c r="T210" s="9"/>
      <c r="U210" s="9"/>
      <c r="V210" s="9"/>
      <c r="W210" s="9"/>
      <c r="X210" s="9"/>
      <c r="Y210" s="9"/>
    </row>
    <row r="211" ht="15.75" hidden="1" customHeight="1">
      <c r="A211" s="25">
        <v>207.0</v>
      </c>
      <c r="B211" s="25" t="s">
        <v>967</v>
      </c>
      <c r="C211" s="27" t="s">
        <v>661</v>
      </c>
      <c r="D211" s="27" t="s">
        <v>364</v>
      </c>
      <c r="E211" s="27" t="s">
        <v>968</v>
      </c>
      <c r="F211" s="27" t="s">
        <v>969</v>
      </c>
      <c r="G211" s="27" t="s">
        <v>970</v>
      </c>
      <c r="H211" s="27" t="s">
        <v>971</v>
      </c>
      <c r="I211" s="27" t="s">
        <v>972</v>
      </c>
      <c r="J211" s="27" t="s">
        <v>973</v>
      </c>
      <c r="K211" s="27" t="s">
        <v>974</v>
      </c>
      <c r="L211" s="25" t="s">
        <v>98</v>
      </c>
      <c r="M211" s="25" t="s">
        <v>32</v>
      </c>
      <c r="N211" s="27" t="s">
        <v>98</v>
      </c>
      <c r="O211" s="27" t="s">
        <v>33</v>
      </c>
      <c r="P211" s="27" t="s">
        <v>98</v>
      </c>
      <c r="Q211" s="9"/>
      <c r="R211" s="9"/>
      <c r="S211" s="9"/>
      <c r="T211" s="9"/>
      <c r="U211" s="9"/>
      <c r="V211" s="9"/>
      <c r="W211" s="9"/>
      <c r="X211" s="9"/>
      <c r="Y211" s="9"/>
    </row>
    <row r="212" ht="15.75" hidden="1" customHeight="1">
      <c r="A212" s="28">
        <v>208.0</v>
      </c>
      <c r="B212" s="28" t="s">
        <v>1952</v>
      </c>
      <c r="C212" s="29" t="s">
        <v>661</v>
      </c>
      <c r="D212" s="29" t="s">
        <v>364</v>
      </c>
      <c r="E212" s="29" t="s">
        <v>1953</v>
      </c>
      <c r="F212" s="29" t="s">
        <v>1954</v>
      </c>
      <c r="G212" s="29" t="s">
        <v>1955</v>
      </c>
      <c r="H212" s="29" t="s">
        <v>1956</v>
      </c>
      <c r="I212" s="29" t="s">
        <v>1957</v>
      </c>
      <c r="J212" s="29" t="s">
        <v>1958</v>
      </c>
      <c r="K212" s="29" t="s">
        <v>1959</v>
      </c>
      <c r="L212" s="28" t="s">
        <v>67</v>
      </c>
      <c r="M212" s="28" t="s">
        <v>32</v>
      </c>
      <c r="N212" s="29" t="s">
        <v>67</v>
      </c>
      <c r="O212" s="29" t="s">
        <v>31</v>
      </c>
      <c r="P212" s="29" t="s">
        <v>30</v>
      </c>
      <c r="Q212" s="9"/>
      <c r="R212" s="9"/>
      <c r="S212" s="9"/>
      <c r="T212" s="9"/>
      <c r="U212" s="9"/>
      <c r="V212" s="9"/>
      <c r="W212" s="9"/>
      <c r="X212" s="9"/>
      <c r="Y212" s="9"/>
    </row>
    <row r="213" ht="15.75" hidden="1" customHeight="1">
      <c r="A213" s="25">
        <v>209.0</v>
      </c>
      <c r="B213" s="25" t="s">
        <v>1960</v>
      </c>
      <c r="C213" s="27" t="s">
        <v>661</v>
      </c>
      <c r="D213" s="27" t="s">
        <v>364</v>
      </c>
      <c r="E213" s="27" t="s">
        <v>1961</v>
      </c>
      <c r="F213" s="27" t="s">
        <v>1962</v>
      </c>
      <c r="G213" s="27" t="s">
        <v>1963</v>
      </c>
      <c r="H213" s="27" t="s">
        <v>1964</v>
      </c>
      <c r="I213" s="27" t="s">
        <v>1965</v>
      </c>
      <c r="J213" s="27" t="s">
        <v>1966</v>
      </c>
      <c r="K213" s="27" t="s">
        <v>1967</v>
      </c>
      <c r="L213" s="25" t="s">
        <v>67</v>
      </c>
      <c r="M213" s="25" t="s">
        <v>32</v>
      </c>
      <c r="N213" s="27" t="s">
        <v>67</v>
      </c>
      <c r="O213" s="27" t="s">
        <v>45</v>
      </c>
      <c r="P213" s="27"/>
      <c r="Q213" s="9"/>
      <c r="R213" s="9"/>
      <c r="S213" s="9"/>
      <c r="T213" s="9"/>
      <c r="U213" s="9"/>
      <c r="V213" s="9"/>
      <c r="W213" s="9"/>
      <c r="X213" s="9"/>
      <c r="Y213" s="9"/>
    </row>
    <row r="214" ht="15.75" hidden="1" customHeight="1">
      <c r="A214" s="28">
        <v>210.0</v>
      </c>
      <c r="B214" s="28" t="s">
        <v>2424</v>
      </c>
      <c r="C214" s="29" t="s">
        <v>661</v>
      </c>
      <c r="D214" s="29" t="s">
        <v>364</v>
      </c>
      <c r="E214" s="29" t="s">
        <v>2425</v>
      </c>
      <c r="F214" s="29" t="s">
        <v>2426</v>
      </c>
      <c r="G214" s="29" t="s">
        <v>2427</v>
      </c>
      <c r="H214" s="29" t="s">
        <v>2428</v>
      </c>
      <c r="I214" s="29" t="s">
        <v>2429</v>
      </c>
      <c r="J214" s="29" t="s">
        <v>2430</v>
      </c>
      <c r="K214" s="29" t="s">
        <v>2431</v>
      </c>
      <c r="L214" s="28" t="s">
        <v>98</v>
      </c>
      <c r="M214" s="28" t="s">
        <v>32</v>
      </c>
      <c r="N214" s="29" t="s">
        <v>98</v>
      </c>
      <c r="O214" s="29" t="s">
        <v>33</v>
      </c>
      <c r="P214" s="29" t="s">
        <v>98</v>
      </c>
      <c r="Q214" s="9"/>
      <c r="R214" s="9"/>
      <c r="S214" s="9"/>
      <c r="T214" s="9"/>
      <c r="U214" s="9"/>
      <c r="V214" s="9"/>
      <c r="W214" s="9"/>
      <c r="X214" s="9"/>
      <c r="Y214" s="9"/>
    </row>
    <row r="215" ht="15.75" hidden="1" customHeight="1">
      <c r="A215" s="25">
        <v>211.0</v>
      </c>
      <c r="B215" s="25" t="s">
        <v>1970</v>
      </c>
      <c r="C215" s="27" t="s">
        <v>1971</v>
      </c>
      <c r="D215" s="27" t="s">
        <v>1972</v>
      </c>
      <c r="E215" s="27" t="s">
        <v>1973</v>
      </c>
      <c r="F215" s="27" t="s">
        <v>1974</v>
      </c>
      <c r="G215" s="27" t="s">
        <v>1975</v>
      </c>
      <c r="H215" s="27" t="s">
        <v>1976</v>
      </c>
      <c r="I215" s="27" t="s">
        <v>1977</v>
      </c>
      <c r="J215" s="27" t="s">
        <v>1978</v>
      </c>
      <c r="K215" s="27" t="s">
        <v>1979</v>
      </c>
      <c r="L215" s="25" t="s">
        <v>44</v>
      </c>
      <c r="M215" s="25" t="s">
        <v>33</v>
      </c>
      <c r="N215" s="27"/>
      <c r="O215" s="27" t="s">
        <v>31</v>
      </c>
      <c r="P215" s="27" t="s">
        <v>98</v>
      </c>
      <c r="Q215" s="9"/>
      <c r="R215" s="9"/>
      <c r="S215" s="9"/>
      <c r="T215" s="9"/>
      <c r="U215" s="9"/>
      <c r="V215" s="9"/>
      <c r="W215" s="9"/>
      <c r="X215" s="9"/>
      <c r="Y215" s="9"/>
    </row>
    <row r="216" ht="15.75" hidden="1" customHeight="1">
      <c r="A216" s="28">
        <v>212.0</v>
      </c>
      <c r="B216" s="28" t="s">
        <v>1970</v>
      </c>
      <c r="C216" s="29" t="s">
        <v>661</v>
      </c>
      <c r="D216" s="29" t="s">
        <v>364</v>
      </c>
      <c r="E216" s="29" t="s">
        <v>1981</v>
      </c>
      <c r="F216" s="29" t="s">
        <v>1982</v>
      </c>
      <c r="G216" s="29" t="s">
        <v>1983</v>
      </c>
      <c r="H216" s="29" t="s">
        <v>1984</v>
      </c>
      <c r="I216" s="29" t="s">
        <v>1985</v>
      </c>
      <c r="J216" s="29" t="s">
        <v>1986</v>
      </c>
      <c r="K216" s="29" t="s">
        <v>1987</v>
      </c>
      <c r="L216" s="28" t="s">
        <v>67</v>
      </c>
      <c r="M216" s="28" t="s">
        <v>32</v>
      </c>
      <c r="N216" s="29" t="s">
        <v>67</v>
      </c>
      <c r="O216" s="29" t="s">
        <v>45</v>
      </c>
      <c r="P216" s="29"/>
      <c r="Q216" s="9"/>
      <c r="R216" s="9"/>
      <c r="S216" s="9"/>
      <c r="T216" s="9"/>
      <c r="U216" s="9"/>
      <c r="V216" s="9"/>
      <c r="W216" s="9"/>
      <c r="X216" s="9"/>
      <c r="Y216" s="9"/>
    </row>
    <row r="217" ht="15.75" customHeight="1">
      <c r="A217" s="25">
        <v>213.0</v>
      </c>
      <c r="B217" s="25" t="s">
        <v>1988</v>
      </c>
      <c r="C217" s="27" t="s">
        <v>1989</v>
      </c>
      <c r="D217" s="27" t="s">
        <v>1990</v>
      </c>
      <c r="E217" s="27" t="s">
        <v>1992</v>
      </c>
      <c r="F217" s="27" t="s">
        <v>1993</v>
      </c>
      <c r="G217" s="27" t="s">
        <v>1995</v>
      </c>
      <c r="H217" s="27" t="s">
        <v>1997</v>
      </c>
      <c r="I217" s="27" t="s">
        <v>1998</v>
      </c>
      <c r="J217" s="27" t="s">
        <v>1999</v>
      </c>
      <c r="K217" s="27" t="s">
        <v>2000</v>
      </c>
      <c r="L217" s="25" t="s">
        <v>30</v>
      </c>
      <c r="M217" s="25" t="s">
        <v>33</v>
      </c>
      <c r="N217" s="27"/>
      <c r="O217" s="27" t="s">
        <v>32</v>
      </c>
      <c r="P217" s="27"/>
      <c r="Q217" s="9"/>
      <c r="R217" s="9"/>
      <c r="S217" s="9"/>
      <c r="T217" s="9"/>
      <c r="U217" s="9"/>
      <c r="V217" s="9"/>
      <c r="W217" s="9"/>
      <c r="X217" s="9"/>
      <c r="Y217" s="9"/>
    </row>
    <row r="218" ht="15.75" hidden="1" customHeight="1">
      <c r="A218" s="28">
        <v>214.0</v>
      </c>
      <c r="B218" s="28" t="s">
        <v>2001</v>
      </c>
      <c r="C218" s="29" t="s">
        <v>2002</v>
      </c>
      <c r="D218" s="29" t="s">
        <v>2003</v>
      </c>
      <c r="E218" s="29" t="s">
        <v>2004</v>
      </c>
      <c r="F218" s="29" t="s">
        <v>2005</v>
      </c>
      <c r="G218" s="29" t="s">
        <v>2006</v>
      </c>
      <c r="H218" s="29" t="s">
        <v>2007</v>
      </c>
      <c r="I218" s="29" t="s">
        <v>2008</v>
      </c>
      <c r="J218" s="29" t="s">
        <v>2009</v>
      </c>
      <c r="K218" s="29" t="s">
        <v>2010</v>
      </c>
      <c r="L218" s="28" t="s">
        <v>44</v>
      </c>
      <c r="M218" s="28" t="s">
        <v>33</v>
      </c>
      <c r="N218" s="29"/>
      <c r="O218" s="29" t="s">
        <v>45</v>
      </c>
      <c r="P218" s="29"/>
      <c r="Q218" s="9"/>
      <c r="R218" s="9"/>
      <c r="S218" s="9"/>
      <c r="T218" s="9"/>
      <c r="U218" s="9"/>
      <c r="V218" s="9"/>
      <c r="W218" s="9"/>
      <c r="X218" s="9"/>
      <c r="Y218" s="9"/>
    </row>
    <row r="219" ht="15.75" customHeight="1">
      <c r="A219" s="25">
        <v>215.0</v>
      </c>
      <c r="B219" s="25" t="s">
        <v>2011</v>
      </c>
      <c r="C219" s="27" t="s">
        <v>2002</v>
      </c>
      <c r="D219" s="27" t="s">
        <v>2012</v>
      </c>
      <c r="E219" s="27" t="s">
        <v>2013</v>
      </c>
      <c r="F219" s="27" t="s">
        <v>2014</v>
      </c>
      <c r="G219" s="27" t="s">
        <v>2015</v>
      </c>
      <c r="H219" s="27" t="s">
        <v>2016</v>
      </c>
      <c r="I219" s="27" t="s">
        <v>2017</v>
      </c>
      <c r="J219" s="27" t="s">
        <v>2018</v>
      </c>
      <c r="K219" s="27" t="s">
        <v>2019</v>
      </c>
      <c r="L219" s="25" t="s">
        <v>56</v>
      </c>
      <c r="M219" s="25" t="s">
        <v>33</v>
      </c>
      <c r="N219" s="27"/>
      <c r="O219" s="27" t="s">
        <v>32</v>
      </c>
      <c r="P219" s="27"/>
      <c r="Q219" s="9"/>
      <c r="R219" s="9"/>
      <c r="S219" s="9"/>
      <c r="T219" s="9"/>
      <c r="U219" s="9"/>
      <c r="V219" s="9"/>
      <c r="W219" s="9"/>
      <c r="X219" s="9"/>
      <c r="Y219" s="9"/>
    </row>
    <row r="220" ht="15.75" hidden="1" customHeight="1">
      <c r="A220" s="28">
        <v>216.0</v>
      </c>
      <c r="B220" s="28" t="s">
        <v>2022</v>
      </c>
      <c r="C220" s="29" t="s">
        <v>2023</v>
      </c>
      <c r="D220" s="29" t="s">
        <v>2024</v>
      </c>
      <c r="E220" s="29" t="s">
        <v>2025</v>
      </c>
      <c r="F220" s="29" t="s">
        <v>2026</v>
      </c>
      <c r="G220" s="29" t="s">
        <v>2027</v>
      </c>
      <c r="H220" s="29" t="s">
        <v>2028</v>
      </c>
      <c r="I220" s="29" t="s">
        <v>2029</v>
      </c>
      <c r="J220" s="29" t="s">
        <v>2030</v>
      </c>
      <c r="K220" s="29" t="s">
        <v>2031</v>
      </c>
      <c r="L220" s="28" t="s">
        <v>30</v>
      </c>
      <c r="M220" s="28" t="s">
        <v>33</v>
      </c>
      <c r="N220" s="29"/>
      <c r="O220" s="29" t="s">
        <v>31</v>
      </c>
      <c r="P220" s="29" t="s">
        <v>98</v>
      </c>
      <c r="Q220" s="9"/>
      <c r="R220" s="9"/>
      <c r="S220" s="9"/>
      <c r="T220" s="9"/>
      <c r="U220" s="9"/>
      <c r="V220" s="9"/>
      <c r="W220" s="9"/>
      <c r="X220" s="9"/>
      <c r="Y220" s="9"/>
    </row>
    <row r="221" ht="15.75" hidden="1" customHeight="1">
      <c r="A221" s="25">
        <v>217.0</v>
      </c>
      <c r="B221" s="25" t="s">
        <v>2032</v>
      </c>
      <c r="C221" s="27" t="s">
        <v>2033</v>
      </c>
      <c r="D221" s="27" t="s">
        <v>2034</v>
      </c>
      <c r="E221" s="27" t="s">
        <v>2035</v>
      </c>
      <c r="F221" s="27" t="s">
        <v>2036</v>
      </c>
      <c r="G221" s="27" t="s">
        <v>2037</v>
      </c>
      <c r="H221" s="27" t="s">
        <v>2038</v>
      </c>
      <c r="I221" s="27" t="s">
        <v>2039</v>
      </c>
      <c r="J221" s="27" t="s">
        <v>2040</v>
      </c>
      <c r="K221" s="27" t="s">
        <v>2041</v>
      </c>
      <c r="L221" s="25" t="s">
        <v>44</v>
      </c>
      <c r="M221" s="25" t="s">
        <v>33</v>
      </c>
      <c r="N221" s="27"/>
      <c r="O221" s="27" t="s">
        <v>45</v>
      </c>
      <c r="P221" s="27"/>
      <c r="Q221" s="9"/>
      <c r="R221" s="9"/>
      <c r="S221" s="9"/>
      <c r="T221" s="9"/>
      <c r="U221" s="9"/>
      <c r="V221" s="9"/>
      <c r="W221" s="9"/>
      <c r="X221" s="9"/>
      <c r="Y221" s="9"/>
    </row>
    <row r="222" ht="15.75" customHeight="1">
      <c r="A222" s="28">
        <v>218.0</v>
      </c>
      <c r="B222" s="28" t="s">
        <v>2042</v>
      </c>
      <c r="C222" s="29" t="s">
        <v>2043</v>
      </c>
      <c r="D222" s="29" t="s">
        <v>2044</v>
      </c>
      <c r="E222" s="29" t="s">
        <v>2045</v>
      </c>
      <c r="F222" s="29" t="s">
        <v>2046</v>
      </c>
      <c r="G222" s="29" t="s">
        <v>2047</v>
      </c>
      <c r="H222" s="29" t="s">
        <v>2048</v>
      </c>
      <c r="I222" s="29" t="s">
        <v>2049</v>
      </c>
      <c r="J222" s="29" t="s">
        <v>2050</v>
      </c>
      <c r="K222" s="29" t="s">
        <v>2051</v>
      </c>
      <c r="L222" s="28" t="s">
        <v>44</v>
      </c>
      <c r="M222" s="28" t="s">
        <v>33</v>
      </c>
      <c r="N222" s="29"/>
      <c r="O222" s="29" t="s">
        <v>32</v>
      </c>
      <c r="P222" s="29"/>
      <c r="Q222" s="9"/>
      <c r="R222" s="9"/>
      <c r="S222" s="9"/>
      <c r="T222" s="9"/>
      <c r="U222" s="9"/>
      <c r="V222" s="9"/>
      <c r="W222" s="9"/>
      <c r="X222" s="9"/>
      <c r="Y222" s="9"/>
    </row>
    <row r="223" ht="15.75" hidden="1" customHeight="1">
      <c r="A223" s="25">
        <v>219.0</v>
      </c>
      <c r="B223" s="25" t="s">
        <v>2052</v>
      </c>
      <c r="C223" s="27" t="s">
        <v>2053</v>
      </c>
      <c r="D223" s="27" t="s">
        <v>2054</v>
      </c>
      <c r="E223" s="27" t="s">
        <v>2055</v>
      </c>
      <c r="F223" s="27" t="s">
        <v>2056</v>
      </c>
      <c r="G223" s="27" t="s">
        <v>2057</v>
      </c>
      <c r="H223" s="27" t="s">
        <v>2058</v>
      </c>
      <c r="I223" s="27" t="s">
        <v>2060</v>
      </c>
      <c r="J223" s="27" t="s">
        <v>2061</v>
      </c>
      <c r="K223" s="27" t="s">
        <v>2062</v>
      </c>
      <c r="L223" s="25" t="s">
        <v>44</v>
      </c>
      <c r="M223" s="25" t="s">
        <v>33</v>
      </c>
      <c r="N223" s="27"/>
      <c r="O223" s="27" t="s">
        <v>31</v>
      </c>
      <c r="P223" s="27" t="s">
        <v>98</v>
      </c>
      <c r="Q223" s="9"/>
      <c r="R223" s="9"/>
      <c r="S223" s="9"/>
      <c r="T223" s="9"/>
      <c r="U223" s="9"/>
      <c r="V223" s="9"/>
      <c r="W223" s="9"/>
      <c r="X223" s="9"/>
      <c r="Y223" s="9"/>
    </row>
    <row r="224" ht="15.75" hidden="1" customHeight="1">
      <c r="A224" s="28">
        <v>220.0</v>
      </c>
      <c r="B224" s="28" t="s">
        <v>2065</v>
      </c>
      <c r="C224" s="29" t="s">
        <v>2066</v>
      </c>
      <c r="D224" s="29" t="s">
        <v>1972</v>
      </c>
      <c r="E224" s="29" t="s">
        <v>2067</v>
      </c>
      <c r="F224" s="29" t="s">
        <v>2068</v>
      </c>
      <c r="G224" s="29" t="s">
        <v>2069</v>
      </c>
      <c r="H224" s="29" t="s">
        <v>2070</v>
      </c>
      <c r="I224" s="29" t="s">
        <v>2071</v>
      </c>
      <c r="J224" s="29" t="s">
        <v>2072</v>
      </c>
      <c r="K224" s="29" t="s">
        <v>2073</v>
      </c>
      <c r="L224" s="28" t="s">
        <v>44</v>
      </c>
      <c r="M224" s="28" t="s">
        <v>33</v>
      </c>
      <c r="N224" s="29"/>
      <c r="O224" s="29" t="s">
        <v>45</v>
      </c>
      <c r="P224" s="29"/>
      <c r="Q224" s="9"/>
      <c r="R224" s="9"/>
      <c r="S224" s="9"/>
      <c r="T224" s="9"/>
      <c r="U224" s="9"/>
      <c r="V224" s="9"/>
      <c r="W224" s="9"/>
      <c r="X224" s="9"/>
      <c r="Y224" s="9"/>
    </row>
    <row r="225" ht="15.75" customHeight="1">
      <c r="A225" s="25">
        <v>221.0</v>
      </c>
      <c r="B225" s="25" t="s">
        <v>2074</v>
      </c>
      <c r="C225" s="27" t="s">
        <v>2075</v>
      </c>
      <c r="D225" s="27" t="s">
        <v>2076</v>
      </c>
      <c r="E225" s="27" t="s">
        <v>2077</v>
      </c>
      <c r="F225" s="27" t="s">
        <v>2078</v>
      </c>
      <c r="G225" s="27" t="s">
        <v>2079</v>
      </c>
      <c r="H225" s="27" t="s">
        <v>2080</v>
      </c>
      <c r="I225" s="27" t="s">
        <v>2081</v>
      </c>
      <c r="J225" s="27" t="s">
        <v>2082</v>
      </c>
      <c r="K225" s="27" t="s">
        <v>2083</v>
      </c>
      <c r="L225" s="25" t="s">
        <v>44</v>
      </c>
      <c r="M225" s="25" t="s">
        <v>33</v>
      </c>
      <c r="N225" s="27"/>
      <c r="O225" s="27" t="s">
        <v>32</v>
      </c>
      <c r="P225" s="27"/>
      <c r="Q225" s="9"/>
      <c r="R225" s="9"/>
      <c r="S225" s="9"/>
      <c r="T225" s="9"/>
      <c r="U225" s="9"/>
      <c r="V225" s="9"/>
      <c r="W225" s="9"/>
      <c r="X225" s="9"/>
      <c r="Y225" s="9"/>
    </row>
    <row r="226" ht="15.75" hidden="1" customHeight="1">
      <c r="A226" s="28">
        <v>222.0</v>
      </c>
      <c r="B226" s="28" t="s">
        <v>2084</v>
      </c>
      <c r="C226" s="29" t="s">
        <v>2085</v>
      </c>
      <c r="D226" s="29" t="s">
        <v>2086</v>
      </c>
      <c r="E226" s="29" t="s">
        <v>2087</v>
      </c>
      <c r="F226" s="29" t="s">
        <v>2088</v>
      </c>
      <c r="G226" s="29" t="s">
        <v>2090</v>
      </c>
      <c r="H226" s="29" t="s">
        <v>2092</v>
      </c>
      <c r="I226" s="29" t="s">
        <v>2096</v>
      </c>
      <c r="J226" s="29" t="s">
        <v>2082</v>
      </c>
      <c r="K226" s="29" t="s">
        <v>2097</v>
      </c>
      <c r="L226" s="28" t="s">
        <v>30</v>
      </c>
      <c r="M226" s="28" t="s">
        <v>33</v>
      </c>
      <c r="N226" s="29"/>
      <c r="O226" s="29" t="s">
        <v>31</v>
      </c>
      <c r="P226" s="29" t="s">
        <v>98</v>
      </c>
      <c r="Q226" s="9"/>
      <c r="R226" s="9"/>
      <c r="S226" s="9"/>
      <c r="T226" s="9"/>
      <c r="U226" s="9"/>
      <c r="V226" s="9"/>
      <c r="W226" s="9"/>
      <c r="X226" s="9"/>
      <c r="Y226" s="9"/>
    </row>
    <row r="227" ht="15.75" hidden="1" customHeight="1">
      <c r="A227" s="25">
        <v>223.0</v>
      </c>
      <c r="B227" s="25" t="s">
        <v>2098</v>
      </c>
      <c r="C227" s="27" t="s">
        <v>2099</v>
      </c>
      <c r="D227" s="27" t="s">
        <v>2100</v>
      </c>
      <c r="E227" s="27" t="s">
        <v>2101</v>
      </c>
      <c r="F227" s="27" t="s">
        <v>2102</v>
      </c>
      <c r="G227" s="27" t="s">
        <v>2103</v>
      </c>
      <c r="H227" s="27" t="s">
        <v>2104</v>
      </c>
      <c r="I227" s="27" t="s">
        <v>2105</v>
      </c>
      <c r="J227" s="27" t="s">
        <v>2106</v>
      </c>
      <c r="K227" s="27" t="s">
        <v>2107</v>
      </c>
      <c r="L227" s="25" t="s">
        <v>44</v>
      </c>
      <c r="M227" s="25" t="s">
        <v>33</v>
      </c>
      <c r="N227" s="27"/>
      <c r="O227" s="27" t="s">
        <v>45</v>
      </c>
      <c r="P227" s="27"/>
      <c r="Q227" s="9"/>
      <c r="R227" s="9"/>
      <c r="S227" s="9"/>
      <c r="T227" s="9"/>
      <c r="U227" s="9"/>
      <c r="V227" s="9"/>
      <c r="W227" s="9"/>
      <c r="X227" s="9"/>
      <c r="Y227" s="9"/>
    </row>
    <row r="228" ht="15.75" customHeight="1">
      <c r="A228" s="28">
        <v>224.0</v>
      </c>
      <c r="B228" s="28" t="s">
        <v>2451</v>
      </c>
      <c r="C228" s="29" t="s">
        <v>2452</v>
      </c>
      <c r="D228" s="29" t="s">
        <v>2453</v>
      </c>
      <c r="E228" s="29" t="s">
        <v>2454</v>
      </c>
      <c r="F228" s="29" t="s">
        <v>2455</v>
      </c>
      <c r="G228" s="29" t="s">
        <v>2456</v>
      </c>
      <c r="H228" s="29" t="s">
        <v>2457</v>
      </c>
      <c r="I228" s="29" t="s">
        <v>2458</v>
      </c>
      <c r="J228" s="29" t="s">
        <v>2459</v>
      </c>
      <c r="K228" s="29" t="s">
        <v>2460</v>
      </c>
      <c r="L228" s="28" t="s">
        <v>56</v>
      </c>
      <c r="M228" s="28" t="s">
        <v>33</v>
      </c>
      <c r="N228" s="29"/>
      <c r="O228" s="29" t="s">
        <v>32</v>
      </c>
      <c r="P228" s="29"/>
      <c r="Q228" s="9"/>
      <c r="R228" s="9"/>
      <c r="S228" s="9"/>
      <c r="T228" s="9"/>
      <c r="U228" s="9"/>
      <c r="V228" s="9"/>
      <c r="W228" s="9"/>
      <c r="X228" s="9"/>
      <c r="Y228" s="9"/>
    </row>
    <row r="229" ht="15.75" hidden="1" customHeight="1">
      <c r="A229" s="25">
        <v>225.0</v>
      </c>
      <c r="B229" s="25" t="s">
        <v>2108</v>
      </c>
      <c r="C229" s="27" t="s">
        <v>2109</v>
      </c>
      <c r="D229" s="27" t="s">
        <v>2110</v>
      </c>
      <c r="E229" s="27" t="s">
        <v>2111</v>
      </c>
      <c r="F229" s="27" t="s">
        <v>2112</v>
      </c>
      <c r="G229" s="27" t="s">
        <v>2113</v>
      </c>
      <c r="H229" s="27" t="s">
        <v>2114</v>
      </c>
      <c r="I229" s="27" t="s">
        <v>2115</v>
      </c>
      <c r="J229" s="27" t="s">
        <v>2116</v>
      </c>
      <c r="K229" s="27" t="s">
        <v>2118</v>
      </c>
      <c r="L229" s="25" t="s">
        <v>44</v>
      </c>
      <c r="M229" s="25" t="s">
        <v>33</v>
      </c>
      <c r="N229" s="27"/>
      <c r="O229" s="27" t="s">
        <v>31</v>
      </c>
      <c r="P229" s="27" t="s">
        <v>98</v>
      </c>
      <c r="Q229" s="9"/>
      <c r="R229" s="9"/>
      <c r="S229" s="9"/>
      <c r="T229" s="9"/>
      <c r="U229" s="9"/>
      <c r="V229" s="9"/>
      <c r="W229" s="9"/>
      <c r="X229" s="9"/>
      <c r="Y229" s="9"/>
    </row>
    <row r="230" ht="15.75" hidden="1" customHeight="1">
      <c r="A230" s="28">
        <v>226.0</v>
      </c>
      <c r="B230" s="28" t="s">
        <v>2122</v>
      </c>
      <c r="C230" s="29" t="s">
        <v>2123</v>
      </c>
      <c r="D230" s="29" t="s">
        <v>2124</v>
      </c>
      <c r="E230" s="29" t="s">
        <v>2125</v>
      </c>
      <c r="F230" s="29" t="s">
        <v>2126</v>
      </c>
      <c r="G230" s="29" t="s">
        <v>2127</v>
      </c>
      <c r="H230" s="29" t="s">
        <v>2128</v>
      </c>
      <c r="I230" s="29" t="s">
        <v>2129</v>
      </c>
      <c r="J230" s="29" t="s">
        <v>2130</v>
      </c>
      <c r="K230" s="29" t="s">
        <v>2131</v>
      </c>
      <c r="L230" s="28" t="s">
        <v>44</v>
      </c>
      <c r="M230" s="28" t="s">
        <v>33</v>
      </c>
      <c r="N230" s="29"/>
      <c r="O230" s="29" t="s">
        <v>45</v>
      </c>
      <c r="P230" s="29"/>
      <c r="Q230" s="9"/>
      <c r="R230" s="9"/>
      <c r="S230" s="9"/>
      <c r="T230" s="9"/>
      <c r="U230" s="9"/>
      <c r="V230" s="9"/>
      <c r="W230" s="9"/>
      <c r="X230" s="9"/>
      <c r="Y230" s="9"/>
    </row>
    <row r="231" ht="15.75" customHeight="1">
      <c r="A231" s="25">
        <v>227.0</v>
      </c>
      <c r="B231" s="25" t="s">
        <v>2132</v>
      </c>
      <c r="C231" s="27" t="s">
        <v>2133</v>
      </c>
      <c r="D231" s="27" t="s">
        <v>2134</v>
      </c>
      <c r="E231" s="27" t="s">
        <v>2135</v>
      </c>
      <c r="F231" s="27" t="s">
        <v>2136</v>
      </c>
      <c r="G231" s="27" t="s">
        <v>2137</v>
      </c>
      <c r="H231" s="27" t="s">
        <v>2138</v>
      </c>
      <c r="I231" s="27" t="s">
        <v>2139</v>
      </c>
      <c r="J231" s="27" t="s">
        <v>2140</v>
      </c>
      <c r="K231" s="27" t="s">
        <v>2141</v>
      </c>
      <c r="L231" s="25" t="s">
        <v>44</v>
      </c>
      <c r="M231" s="25" t="s">
        <v>33</v>
      </c>
      <c r="N231" s="27"/>
      <c r="O231" s="27" t="s">
        <v>32</v>
      </c>
      <c r="P231" s="27"/>
      <c r="Q231" s="9"/>
      <c r="R231" s="9"/>
      <c r="S231" s="9"/>
      <c r="T231" s="9"/>
      <c r="U231" s="9"/>
      <c r="V231" s="9"/>
      <c r="W231" s="9"/>
      <c r="X231" s="9"/>
      <c r="Y231" s="9"/>
    </row>
    <row r="232" ht="15.75" hidden="1" customHeight="1">
      <c r="A232" s="28">
        <v>228.0</v>
      </c>
      <c r="B232" s="28" t="s">
        <v>2142</v>
      </c>
      <c r="C232" s="29" t="s">
        <v>2143</v>
      </c>
      <c r="D232" s="29" t="s">
        <v>2144</v>
      </c>
      <c r="E232" s="29" t="s">
        <v>2135</v>
      </c>
      <c r="F232" s="29" t="s">
        <v>2145</v>
      </c>
      <c r="G232" s="29" t="s">
        <v>2146</v>
      </c>
      <c r="H232" s="29" t="s">
        <v>2147</v>
      </c>
      <c r="I232" s="29" t="s">
        <v>2149</v>
      </c>
      <c r="J232" s="29" t="s">
        <v>2150</v>
      </c>
      <c r="K232" s="29" t="s">
        <v>2151</v>
      </c>
      <c r="L232" s="28" t="s">
        <v>44</v>
      </c>
      <c r="M232" s="28" t="s">
        <v>33</v>
      </c>
      <c r="N232" s="29"/>
      <c r="O232" s="29" t="s">
        <v>31</v>
      </c>
      <c r="P232" s="29" t="s">
        <v>44</v>
      </c>
      <c r="Q232" s="9"/>
      <c r="R232" s="9"/>
      <c r="S232" s="9"/>
      <c r="T232" s="9"/>
      <c r="U232" s="9"/>
      <c r="V232" s="9"/>
      <c r="W232" s="9"/>
      <c r="X232" s="9"/>
      <c r="Y232" s="9"/>
    </row>
    <row r="233" ht="15.75" hidden="1" customHeight="1">
      <c r="A233" s="25">
        <v>229.0</v>
      </c>
      <c r="B233" s="25" t="s">
        <v>2152</v>
      </c>
      <c r="C233" s="27" t="s">
        <v>2153</v>
      </c>
      <c r="D233" s="27" t="s">
        <v>2154</v>
      </c>
      <c r="E233" s="27" t="s">
        <v>2156</v>
      </c>
      <c r="F233" s="27" t="s">
        <v>2158</v>
      </c>
      <c r="G233" s="27" t="s">
        <v>2159</v>
      </c>
      <c r="H233" s="27" t="s">
        <v>2160</v>
      </c>
      <c r="I233" s="27" t="s">
        <v>2161</v>
      </c>
      <c r="J233" s="27" t="s">
        <v>2162</v>
      </c>
      <c r="K233" s="27" t="s">
        <v>2163</v>
      </c>
      <c r="L233" s="25" t="s">
        <v>44</v>
      </c>
      <c r="M233" s="25" t="s">
        <v>33</v>
      </c>
      <c r="N233" s="27"/>
      <c r="O233" s="27" t="s">
        <v>45</v>
      </c>
      <c r="P233" s="27"/>
      <c r="Q233" s="9"/>
      <c r="R233" s="9"/>
      <c r="S233" s="9"/>
      <c r="T233" s="9"/>
      <c r="U233" s="9"/>
      <c r="V233" s="9"/>
      <c r="W233" s="9"/>
      <c r="X233" s="9"/>
      <c r="Y233" s="9"/>
    </row>
    <row r="234" ht="15.75" customHeight="1">
      <c r="A234" s="28">
        <v>230.0</v>
      </c>
      <c r="B234" s="28" t="s">
        <v>2164</v>
      </c>
      <c r="C234" s="29" t="s">
        <v>2165</v>
      </c>
      <c r="D234" s="29" t="s">
        <v>2166</v>
      </c>
      <c r="E234" s="29" t="s">
        <v>2167</v>
      </c>
      <c r="F234" s="29" t="s">
        <v>2168</v>
      </c>
      <c r="G234" s="29" t="s">
        <v>2169</v>
      </c>
      <c r="H234" s="29" t="s">
        <v>2170</v>
      </c>
      <c r="I234" s="29" t="s">
        <v>2171</v>
      </c>
      <c r="J234" s="29" t="s">
        <v>2172</v>
      </c>
      <c r="K234" s="29" t="s">
        <v>2173</v>
      </c>
      <c r="L234" s="28" t="s">
        <v>44</v>
      </c>
      <c r="M234" s="28" t="s">
        <v>33</v>
      </c>
      <c r="N234" s="29"/>
      <c r="O234" s="29" t="s">
        <v>32</v>
      </c>
      <c r="P234" s="29"/>
      <c r="Q234" s="9"/>
      <c r="R234" s="9"/>
      <c r="S234" s="9"/>
      <c r="T234" s="9"/>
      <c r="U234" s="9"/>
      <c r="V234" s="9"/>
      <c r="W234" s="9"/>
      <c r="X234" s="9"/>
      <c r="Y234" s="9"/>
    </row>
    <row r="235" ht="15.75" hidden="1" customHeight="1">
      <c r="A235" s="25">
        <v>231.0</v>
      </c>
      <c r="B235" s="25" t="s">
        <v>2174</v>
      </c>
      <c r="C235" s="27" t="s">
        <v>2175</v>
      </c>
      <c r="D235" s="27" t="s">
        <v>2176</v>
      </c>
      <c r="E235" s="27" t="s">
        <v>2177</v>
      </c>
      <c r="F235" s="27" t="s">
        <v>2178</v>
      </c>
      <c r="G235" s="27" t="s">
        <v>2179</v>
      </c>
      <c r="H235" s="27" t="s">
        <v>2180</v>
      </c>
      <c r="I235" s="27" t="s">
        <v>2181</v>
      </c>
      <c r="J235" s="27" t="s">
        <v>2182</v>
      </c>
      <c r="K235" s="27" t="s">
        <v>2183</v>
      </c>
      <c r="L235" s="25" t="s">
        <v>30</v>
      </c>
      <c r="M235" s="25" t="s">
        <v>33</v>
      </c>
      <c r="N235" s="27"/>
      <c r="O235" s="27" t="s">
        <v>31</v>
      </c>
      <c r="P235" s="27" t="s">
        <v>30</v>
      </c>
      <c r="Q235" s="9"/>
      <c r="R235" s="9"/>
      <c r="S235" s="9"/>
      <c r="T235" s="9"/>
      <c r="U235" s="9"/>
      <c r="V235" s="9"/>
      <c r="W235" s="9"/>
      <c r="X235" s="9"/>
      <c r="Y235" s="9"/>
    </row>
    <row r="236" ht="15.75" hidden="1" customHeight="1">
      <c r="A236" s="28">
        <v>232.0</v>
      </c>
      <c r="B236" s="28" t="s">
        <v>2184</v>
      </c>
      <c r="C236" s="29" t="s">
        <v>2185</v>
      </c>
      <c r="D236" s="29" t="s">
        <v>2186</v>
      </c>
      <c r="E236" s="29" t="s">
        <v>2187</v>
      </c>
      <c r="F236" s="29" t="s">
        <v>2188</v>
      </c>
      <c r="G236" s="29" t="s">
        <v>2189</v>
      </c>
      <c r="H236" s="29" t="s">
        <v>2190</v>
      </c>
      <c r="I236" s="29" t="s">
        <v>2191</v>
      </c>
      <c r="J236" s="29" t="s">
        <v>2192</v>
      </c>
      <c r="K236" s="29" t="s">
        <v>2193</v>
      </c>
      <c r="L236" s="28" t="s">
        <v>44</v>
      </c>
      <c r="M236" s="28" t="s">
        <v>33</v>
      </c>
      <c r="N236" s="29"/>
      <c r="O236" s="29" t="s">
        <v>45</v>
      </c>
      <c r="P236" s="29"/>
      <c r="Q236" s="9"/>
      <c r="R236" s="9"/>
      <c r="S236" s="9"/>
      <c r="T236" s="9"/>
      <c r="U236" s="9"/>
      <c r="V236" s="9"/>
      <c r="W236" s="9"/>
      <c r="X236" s="9"/>
      <c r="Y236" s="9"/>
    </row>
    <row r="237" ht="15.75" hidden="1" customHeight="1">
      <c r="A237" s="25">
        <v>233.0</v>
      </c>
      <c r="B237" s="25" t="s">
        <v>2196</v>
      </c>
      <c r="C237" s="27" t="s">
        <v>2197</v>
      </c>
      <c r="D237" s="27" t="s">
        <v>2198</v>
      </c>
      <c r="E237" s="27" t="s">
        <v>2199</v>
      </c>
      <c r="F237" s="27" t="s">
        <v>2200</v>
      </c>
      <c r="G237" s="27" t="s">
        <v>2201</v>
      </c>
      <c r="H237" s="27" t="s">
        <v>2202</v>
      </c>
      <c r="I237" s="27" t="s">
        <v>2203</v>
      </c>
      <c r="J237" s="27" t="s">
        <v>2204</v>
      </c>
      <c r="K237" s="27" t="s">
        <v>2205</v>
      </c>
      <c r="L237" s="25" t="s">
        <v>98</v>
      </c>
      <c r="M237" s="25" t="s">
        <v>32</v>
      </c>
      <c r="N237" s="27"/>
      <c r="O237" s="27" t="s">
        <v>33</v>
      </c>
      <c r="P237" s="27" t="s">
        <v>98</v>
      </c>
      <c r="Q237" s="9"/>
      <c r="R237" s="9"/>
      <c r="S237" s="9"/>
      <c r="T237" s="9"/>
      <c r="U237" s="9"/>
      <c r="V237" s="9"/>
      <c r="W237" s="9"/>
      <c r="X237" s="9"/>
      <c r="Y237" s="9"/>
    </row>
    <row r="238" ht="15.75" hidden="1" customHeight="1">
      <c r="A238" s="28">
        <v>234.0</v>
      </c>
      <c r="B238" s="28" t="s">
        <v>2206</v>
      </c>
      <c r="C238" s="29" t="s">
        <v>2207</v>
      </c>
      <c r="D238" s="29" t="s">
        <v>2198</v>
      </c>
      <c r="E238" s="29" t="s">
        <v>2208</v>
      </c>
      <c r="F238" s="29" t="s">
        <v>2209</v>
      </c>
      <c r="G238" s="29" t="s">
        <v>2210</v>
      </c>
      <c r="H238" s="29" t="s">
        <v>2211</v>
      </c>
      <c r="I238" s="29" t="s">
        <v>2212</v>
      </c>
      <c r="J238" s="29" t="s">
        <v>2213</v>
      </c>
      <c r="K238" s="29" t="s">
        <v>2214</v>
      </c>
      <c r="L238" s="28" t="s">
        <v>98</v>
      </c>
      <c r="M238" s="28" t="s">
        <v>32</v>
      </c>
      <c r="N238" s="29"/>
      <c r="O238" s="29" t="s">
        <v>31</v>
      </c>
      <c r="P238" s="29" t="s">
        <v>98</v>
      </c>
      <c r="Q238" s="9"/>
      <c r="R238" s="9"/>
      <c r="S238" s="9"/>
      <c r="T238" s="9"/>
      <c r="U238" s="9"/>
      <c r="V238" s="9"/>
      <c r="W238" s="9"/>
      <c r="X238" s="9"/>
      <c r="Y238" s="9"/>
    </row>
    <row r="239" ht="15.75" hidden="1" customHeight="1">
      <c r="A239" s="25">
        <v>235.0</v>
      </c>
      <c r="B239" s="25" t="s">
        <v>2215</v>
      </c>
      <c r="C239" s="27" t="s">
        <v>2216</v>
      </c>
      <c r="D239" s="27" t="s">
        <v>2198</v>
      </c>
      <c r="E239" s="27" t="s">
        <v>2219</v>
      </c>
      <c r="F239" s="27" t="s">
        <v>2220</v>
      </c>
      <c r="G239" s="27" t="s">
        <v>2221</v>
      </c>
      <c r="H239" s="27" t="s">
        <v>2222</v>
      </c>
      <c r="I239" s="27" t="s">
        <v>2223</v>
      </c>
      <c r="J239" s="27" t="s">
        <v>2224</v>
      </c>
      <c r="K239" s="27" t="s">
        <v>2225</v>
      </c>
      <c r="L239" s="25" t="s">
        <v>98</v>
      </c>
      <c r="M239" s="25" t="s">
        <v>32</v>
      </c>
      <c r="N239" s="27"/>
      <c r="O239" s="27" t="s">
        <v>45</v>
      </c>
      <c r="P239" s="27"/>
      <c r="Q239" s="9"/>
      <c r="R239" s="9"/>
      <c r="S239" s="9"/>
      <c r="T239" s="9"/>
      <c r="U239" s="9"/>
      <c r="V239" s="9"/>
      <c r="W239" s="9"/>
      <c r="X239" s="9"/>
      <c r="Y239" s="9"/>
    </row>
    <row r="240" ht="15.75" hidden="1" customHeight="1">
      <c r="A240" s="28">
        <v>236.0</v>
      </c>
      <c r="B240" s="28" t="s">
        <v>2226</v>
      </c>
      <c r="C240" s="29" t="s">
        <v>2227</v>
      </c>
      <c r="D240" s="29" t="s">
        <v>2198</v>
      </c>
      <c r="E240" s="29" t="s">
        <v>2228</v>
      </c>
      <c r="F240" s="29" t="s">
        <v>2229</v>
      </c>
      <c r="G240" s="29" t="s">
        <v>2230</v>
      </c>
      <c r="H240" s="29" t="s">
        <v>2231</v>
      </c>
      <c r="I240" s="29" t="s">
        <v>2232</v>
      </c>
      <c r="J240" s="29" t="s">
        <v>2233</v>
      </c>
      <c r="K240" s="29" t="s">
        <v>2234</v>
      </c>
      <c r="L240" s="28" t="s">
        <v>98</v>
      </c>
      <c r="M240" s="28" t="s">
        <v>32</v>
      </c>
      <c r="N240" s="29"/>
      <c r="O240" s="29" t="s">
        <v>33</v>
      </c>
      <c r="P240" s="29" t="s">
        <v>98</v>
      </c>
      <c r="Q240" s="9"/>
      <c r="R240" s="9"/>
      <c r="S240" s="9"/>
      <c r="T240" s="9"/>
      <c r="U240" s="9"/>
      <c r="V240" s="9"/>
      <c r="W240" s="9"/>
      <c r="X240" s="9"/>
      <c r="Y240" s="9"/>
    </row>
    <row r="241" ht="15.75" hidden="1" customHeight="1">
      <c r="A241" s="25">
        <v>237.0</v>
      </c>
      <c r="B241" s="25" t="s">
        <v>2235</v>
      </c>
      <c r="C241" s="27" t="s">
        <v>2236</v>
      </c>
      <c r="D241" s="27" t="s">
        <v>2198</v>
      </c>
      <c r="E241" s="27" t="s">
        <v>2237</v>
      </c>
      <c r="F241" s="27" t="s">
        <v>2238</v>
      </c>
      <c r="G241" s="27" t="s">
        <v>2239</v>
      </c>
      <c r="H241" s="27" t="s">
        <v>2240</v>
      </c>
      <c r="I241" s="27" t="s">
        <v>2241</v>
      </c>
      <c r="J241" s="27" t="s">
        <v>2242</v>
      </c>
      <c r="K241" s="27" t="s">
        <v>2243</v>
      </c>
      <c r="L241" s="25" t="s">
        <v>98</v>
      </c>
      <c r="M241" s="25" t="s">
        <v>32</v>
      </c>
      <c r="N241" s="27"/>
      <c r="O241" s="27" t="s">
        <v>31</v>
      </c>
      <c r="P241" s="27" t="s">
        <v>98</v>
      </c>
      <c r="Q241" s="9"/>
      <c r="R241" s="9"/>
      <c r="S241" s="9"/>
      <c r="T241" s="9"/>
      <c r="U241" s="9"/>
      <c r="V241" s="9"/>
      <c r="W241" s="9"/>
      <c r="X241" s="9"/>
      <c r="Y241" s="9"/>
    </row>
    <row r="242" ht="15.75" customHeight="1">
      <c r="A242" s="17"/>
      <c r="B242" s="17"/>
      <c r="C242" s="19"/>
      <c r="D242" s="19"/>
      <c r="E242" s="19"/>
      <c r="F242" s="19"/>
      <c r="G242" s="19"/>
      <c r="H242" s="19"/>
      <c r="I242" s="19"/>
      <c r="J242" s="19"/>
      <c r="K242" s="19"/>
      <c r="L242" s="22"/>
      <c r="M242" s="22"/>
      <c r="N242" s="9"/>
      <c r="O242" s="9"/>
      <c r="P242" s="9"/>
      <c r="Q242" s="9"/>
      <c r="R242" s="9"/>
      <c r="S242" s="9"/>
      <c r="T242" s="9"/>
      <c r="U242" s="9"/>
      <c r="V242" s="9"/>
      <c r="W242" s="9"/>
      <c r="X242" s="9"/>
      <c r="Y242" s="9"/>
    </row>
    <row r="243" ht="15.75" customHeight="1">
      <c r="A243" s="17"/>
      <c r="B243" s="17"/>
      <c r="C243" s="19"/>
      <c r="D243" s="19"/>
      <c r="E243" s="19"/>
      <c r="F243" s="19"/>
      <c r="G243" s="19"/>
      <c r="H243" s="19"/>
      <c r="I243" s="19"/>
      <c r="J243" s="19"/>
      <c r="K243" s="19"/>
      <c r="L243" s="22"/>
      <c r="M243" s="22"/>
      <c r="N243" s="9"/>
      <c r="O243" s="9"/>
      <c r="P243" s="9"/>
      <c r="Q243" s="9"/>
      <c r="R243" s="9"/>
      <c r="S243" s="9"/>
      <c r="T243" s="9"/>
      <c r="U243" s="9"/>
      <c r="V243" s="9"/>
      <c r="W243" s="9"/>
      <c r="X243" s="9"/>
      <c r="Y243" s="9"/>
    </row>
    <row r="244" ht="15.75" customHeight="1">
      <c r="A244" s="17"/>
      <c r="B244" s="17"/>
      <c r="C244" s="19"/>
      <c r="D244" s="19"/>
      <c r="E244" s="19"/>
      <c r="F244" s="19"/>
      <c r="G244" s="19"/>
      <c r="H244" s="19"/>
      <c r="I244" s="19"/>
      <c r="J244" s="19"/>
      <c r="K244" s="19"/>
      <c r="L244" s="22"/>
      <c r="M244" s="22"/>
      <c r="N244" s="9"/>
      <c r="O244" s="9"/>
      <c r="P244" s="9"/>
      <c r="Q244" s="9"/>
      <c r="R244" s="9"/>
      <c r="S244" s="9"/>
      <c r="T244" s="9"/>
      <c r="U244" s="9"/>
      <c r="V244" s="9"/>
      <c r="W244" s="9"/>
      <c r="X244" s="9"/>
      <c r="Y244" s="9"/>
    </row>
    <row r="245" ht="15.75" customHeight="1">
      <c r="A245" s="17"/>
      <c r="B245" s="17"/>
      <c r="C245" s="19"/>
      <c r="D245" s="19"/>
      <c r="E245" s="19"/>
      <c r="F245" s="19"/>
      <c r="G245" s="19"/>
      <c r="H245" s="19"/>
      <c r="I245" s="19"/>
      <c r="J245" s="19"/>
      <c r="K245" s="19"/>
      <c r="L245" s="22"/>
      <c r="M245" s="22"/>
      <c r="N245" s="9"/>
      <c r="O245" s="9"/>
      <c r="P245" s="9"/>
      <c r="Q245" s="9"/>
      <c r="R245" s="9"/>
      <c r="S245" s="9"/>
      <c r="T245" s="9"/>
      <c r="U245" s="9"/>
      <c r="V245" s="9"/>
      <c r="W245" s="9"/>
      <c r="X245" s="9"/>
      <c r="Y245" s="9"/>
    </row>
    <row r="246" ht="15.75" customHeight="1">
      <c r="A246" s="17"/>
      <c r="B246" s="17"/>
      <c r="C246" s="19"/>
      <c r="D246" s="19"/>
      <c r="E246" s="19"/>
      <c r="F246" s="19"/>
      <c r="G246" s="19"/>
      <c r="H246" s="19"/>
      <c r="I246" s="19"/>
      <c r="J246" s="19"/>
      <c r="K246" s="19"/>
      <c r="L246" s="22"/>
      <c r="M246" s="22"/>
      <c r="N246" s="9"/>
      <c r="O246" s="9"/>
      <c r="P246" s="9"/>
      <c r="Q246" s="9"/>
      <c r="R246" s="9"/>
      <c r="S246" s="9"/>
      <c r="T246" s="9"/>
      <c r="U246" s="9"/>
      <c r="V246" s="9"/>
      <c r="W246" s="9"/>
      <c r="X246" s="9"/>
      <c r="Y246" s="9"/>
    </row>
    <row r="247" ht="15.75" customHeight="1">
      <c r="A247" s="17"/>
      <c r="B247" s="17"/>
      <c r="C247" s="19"/>
      <c r="D247" s="19"/>
      <c r="E247" s="19"/>
      <c r="F247" s="19"/>
      <c r="G247" s="19"/>
      <c r="H247" s="19"/>
      <c r="I247" s="19"/>
      <c r="J247" s="19"/>
      <c r="K247" s="19"/>
      <c r="L247" s="22"/>
      <c r="M247" s="22"/>
      <c r="N247" s="9"/>
      <c r="O247" s="9"/>
      <c r="P247" s="9"/>
      <c r="Q247" s="9"/>
      <c r="R247" s="9"/>
      <c r="S247" s="9"/>
      <c r="T247" s="9"/>
      <c r="U247" s="9"/>
      <c r="V247" s="9"/>
      <c r="W247" s="9"/>
      <c r="X247" s="9"/>
      <c r="Y247" s="9"/>
    </row>
    <row r="248" ht="15.75" customHeight="1">
      <c r="A248" s="17"/>
      <c r="B248" s="17"/>
      <c r="C248" s="19"/>
      <c r="D248" s="19"/>
      <c r="E248" s="19"/>
      <c r="F248" s="19"/>
      <c r="G248" s="19"/>
      <c r="H248" s="19"/>
      <c r="I248" s="19"/>
      <c r="J248" s="19"/>
      <c r="K248" s="19"/>
      <c r="L248" s="22"/>
      <c r="M248" s="22"/>
      <c r="N248" s="9"/>
      <c r="O248" s="9"/>
      <c r="P248" s="9"/>
      <c r="Q248" s="9"/>
      <c r="R248" s="9"/>
      <c r="S248" s="9"/>
      <c r="T248" s="9"/>
      <c r="U248" s="9"/>
      <c r="V248" s="9"/>
      <c r="W248" s="9"/>
      <c r="X248" s="9"/>
      <c r="Y248" s="9"/>
    </row>
    <row r="249" ht="15.75" customHeight="1">
      <c r="A249" s="17"/>
      <c r="B249" s="17"/>
      <c r="C249" s="19"/>
      <c r="D249" s="19"/>
      <c r="E249" s="19"/>
      <c r="F249" s="19"/>
      <c r="G249" s="19"/>
      <c r="H249" s="19"/>
      <c r="I249" s="19"/>
      <c r="J249" s="19"/>
      <c r="K249" s="19"/>
      <c r="L249" s="22"/>
      <c r="M249" s="22"/>
      <c r="N249" s="9"/>
      <c r="O249" s="9"/>
      <c r="P249" s="9"/>
      <c r="Q249" s="9"/>
      <c r="R249" s="9"/>
      <c r="S249" s="9"/>
      <c r="T249" s="9"/>
      <c r="U249" s="9"/>
      <c r="V249" s="9"/>
      <c r="W249" s="9"/>
      <c r="X249" s="9"/>
      <c r="Y249" s="9"/>
    </row>
    <row r="250" ht="15.75" customHeight="1">
      <c r="A250" s="17"/>
      <c r="B250" s="17"/>
      <c r="C250" s="19"/>
      <c r="D250" s="19"/>
      <c r="E250" s="19"/>
      <c r="F250" s="19"/>
      <c r="G250" s="19"/>
      <c r="H250" s="19"/>
      <c r="I250" s="19"/>
      <c r="J250" s="19"/>
      <c r="K250" s="19"/>
      <c r="L250" s="22"/>
      <c r="M250" s="22"/>
      <c r="N250" s="9"/>
      <c r="O250" s="9"/>
      <c r="P250" s="9"/>
      <c r="Q250" s="9"/>
      <c r="R250" s="9"/>
      <c r="S250" s="9"/>
      <c r="T250" s="9"/>
      <c r="U250" s="9"/>
      <c r="V250" s="9"/>
      <c r="W250" s="9"/>
      <c r="X250" s="9"/>
      <c r="Y250" s="9"/>
    </row>
    <row r="251" ht="15.75" customHeight="1">
      <c r="A251" s="17"/>
      <c r="B251" s="17"/>
      <c r="C251" s="19"/>
      <c r="D251" s="19"/>
      <c r="E251" s="19"/>
      <c r="F251" s="19"/>
      <c r="G251" s="19"/>
      <c r="H251" s="19"/>
      <c r="I251" s="19"/>
      <c r="J251" s="19"/>
      <c r="K251" s="19"/>
      <c r="L251" s="22"/>
      <c r="M251" s="22"/>
      <c r="N251" s="9"/>
      <c r="O251" s="9"/>
      <c r="P251" s="9"/>
      <c r="Q251" s="9"/>
      <c r="R251" s="9"/>
      <c r="S251" s="9"/>
      <c r="T251" s="9"/>
      <c r="U251" s="9"/>
      <c r="V251" s="9"/>
      <c r="W251" s="9"/>
      <c r="X251" s="9"/>
      <c r="Y251" s="9"/>
    </row>
    <row r="252" ht="15.75" customHeight="1">
      <c r="A252" s="17"/>
      <c r="B252" s="17"/>
      <c r="C252" s="19"/>
      <c r="D252" s="19"/>
      <c r="E252" s="19"/>
      <c r="F252" s="19"/>
      <c r="G252" s="19"/>
      <c r="H252" s="19"/>
      <c r="I252" s="19"/>
      <c r="J252" s="19"/>
      <c r="K252" s="19"/>
      <c r="L252" s="22"/>
      <c r="M252" s="22"/>
      <c r="N252" s="9"/>
      <c r="O252" s="9"/>
      <c r="P252" s="9"/>
      <c r="Q252" s="9"/>
      <c r="R252" s="9"/>
      <c r="S252" s="9"/>
      <c r="T252" s="9"/>
      <c r="U252" s="9"/>
      <c r="V252" s="9"/>
      <c r="W252" s="9"/>
      <c r="X252" s="9"/>
      <c r="Y252" s="9"/>
    </row>
    <row r="253" ht="15.75" customHeight="1">
      <c r="A253" s="17"/>
      <c r="B253" s="17"/>
      <c r="C253" s="19"/>
      <c r="D253" s="19"/>
      <c r="E253" s="19"/>
      <c r="F253" s="19"/>
      <c r="G253" s="19"/>
      <c r="H253" s="19"/>
      <c r="I253" s="19"/>
      <c r="J253" s="19"/>
      <c r="K253" s="19"/>
      <c r="L253" s="22"/>
      <c r="M253" s="22"/>
      <c r="N253" s="9"/>
      <c r="O253" s="9"/>
      <c r="P253" s="9"/>
      <c r="Q253" s="9"/>
      <c r="R253" s="9"/>
      <c r="S253" s="9"/>
      <c r="T253" s="9"/>
      <c r="U253" s="9"/>
      <c r="V253" s="9"/>
      <c r="W253" s="9"/>
      <c r="X253" s="9"/>
      <c r="Y253" s="9"/>
    </row>
    <row r="254" ht="15.75" customHeight="1">
      <c r="A254" s="17"/>
      <c r="B254" s="17"/>
      <c r="C254" s="19"/>
      <c r="D254" s="19"/>
      <c r="E254" s="19"/>
      <c r="F254" s="19"/>
      <c r="G254" s="19"/>
      <c r="H254" s="19"/>
      <c r="I254" s="19"/>
      <c r="J254" s="19"/>
      <c r="K254" s="19"/>
      <c r="L254" s="22"/>
      <c r="M254" s="22"/>
      <c r="N254" s="9"/>
      <c r="O254" s="9"/>
      <c r="P254" s="9"/>
      <c r="Q254" s="9"/>
      <c r="R254" s="9"/>
      <c r="S254" s="9"/>
      <c r="T254" s="9"/>
      <c r="U254" s="9"/>
      <c r="V254" s="9"/>
      <c r="W254" s="9"/>
      <c r="X254" s="9"/>
      <c r="Y254" s="9"/>
    </row>
    <row r="255" ht="15.75" customHeight="1">
      <c r="A255" s="17"/>
      <c r="B255" s="17"/>
      <c r="C255" s="19"/>
      <c r="D255" s="19"/>
      <c r="E255" s="19"/>
      <c r="F255" s="19"/>
      <c r="G255" s="19"/>
      <c r="H255" s="19"/>
      <c r="I255" s="19"/>
      <c r="J255" s="19"/>
      <c r="K255" s="19"/>
      <c r="L255" s="22"/>
      <c r="M255" s="22"/>
      <c r="N255" s="9"/>
      <c r="O255" s="9"/>
      <c r="P255" s="9"/>
      <c r="Q255" s="9"/>
      <c r="R255" s="9"/>
      <c r="S255" s="9"/>
      <c r="T255" s="9"/>
      <c r="U255" s="9"/>
      <c r="V255" s="9"/>
      <c r="W255" s="9"/>
      <c r="X255" s="9"/>
      <c r="Y255" s="9"/>
    </row>
    <row r="256" ht="15.75" customHeight="1">
      <c r="A256" s="17"/>
      <c r="B256" s="17"/>
      <c r="C256" s="19"/>
      <c r="D256" s="19"/>
      <c r="E256" s="19"/>
      <c r="F256" s="19"/>
      <c r="G256" s="19"/>
      <c r="H256" s="19"/>
      <c r="I256" s="19"/>
      <c r="J256" s="19"/>
      <c r="K256" s="19"/>
      <c r="L256" s="22"/>
      <c r="M256" s="22"/>
      <c r="N256" s="9"/>
      <c r="O256" s="9"/>
      <c r="P256" s="9"/>
      <c r="Q256" s="9"/>
      <c r="R256" s="9"/>
      <c r="S256" s="9"/>
      <c r="T256" s="9"/>
      <c r="U256" s="9"/>
      <c r="V256" s="9"/>
      <c r="W256" s="9"/>
      <c r="X256" s="9"/>
      <c r="Y256" s="9"/>
    </row>
    <row r="257" ht="15.75" customHeight="1">
      <c r="A257" s="17"/>
      <c r="B257" s="17"/>
      <c r="C257" s="19"/>
      <c r="D257" s="19"/>
      <c r="E257" s="19"/>
      <c r="F257" s="19"/>
      <c r="G257" s="19"/>
      <c r="H257" s="19"/>
      <c r="I257" s="19"/>
      <c r="J257" s="19"/>
      <c r="K257" s="19"/>
      <c r="L257" s="22"/>
      <c r="M257" s="22"/>
      <c r="N257" s="9"/>
      <c r="O257" s="9"/>
      <c r="P257" s="9"/>
      <c r="Q257" s="9"/>
      <c r="R257" s="9"/>
      <c r="S257" s="9"/>
      <c r="T257" s="9"/>
      <c r="U257" s="9"/>
      <c r="V257" s="9"/>
      <c r="W257" s="9"/>
      <c r="X257" s="9"/>
      <c r="Y257" s="9"/>
    </row>
    <row r="258" ht="15.75" customHeight="1">
      <c r="A258" s="17"/>
      <c r="B258" s="17"/>
      <c r="C258" s="19"/>
      <c r="D258" s="19"/>
      <c r="E258" s="19"/>
      <c r="F258" s="19"/>
      <c r="G258" s="19"/>
      <c r="H258" s="19"/>
      <c r="I258" s="19"/>
      <c r="J258" s="19"/>
      <c r="K258" s="19"/>
      <c r="L258" s="22"/>
      <c r="M258" s="22"/>
      <c r="N258" s="9"/>
      <c r="O258" s="9"/>
      <c r="P258" s="9"/>
      <c r="Q258" s="9"/>
      <c r="R258" s="9"/>
      <c r="S258" s="9"/>
      <c r="T258" s="9"/>
      <c r="U258" s="9"/>
      <c r="V258" s="9"/>
      <c r="W258" s="9"/>
      <c r="X258" s="9"/>
      <c r="Y258" s="9"/>
    </row>
    <row r="259" ht="15.75" customHeight="1">
      <c r="A259" s="17"/>
      <c r="B259" s="17"/>
      <c r="C259" s="19"/>
      <c r="D259" s="19"/>
      <c r="E259" s="19"/>
      <c r="F259" s="19"/>
      <c r="G259" s="19"/>
      <c r="H259" s="19"/>
      <c r="I259" s="19"/>
      <c r="J259" s="19"/>
      <c r="K259" s="19"/>
      <c r="L259" s="22"/>
      <c r="M259" s="22"/>
      <c r="N259" s="9"/>
      <c r="O259" s="9"/>
      <c r="P259" s="9"/>
      <c r="Q259" s="9"/>
      <c r="R259" s="9"/>
      <c r="S259" s="9"/>
      <c r="T259" s="9"/>
      <c r="U259" s="9"/>
      <c r="V259" s="9"/>
      <c r="W259" s="9"/>
      <c r="X259" s="9"/>
      <c r="Y259" s="9"/>
    </row>
    <row r="260" ht="15.75" customHeight="1">
      <c r="A260" s="17"/>
      <c r="B260" s="17"/>
      <c r="C260" s="19"/>
      <c r="D260" s="19"/>
      <c r="E260" s="19"/>
      <c r="F260" s="19"/>
      <c r="G260" s="19"/>
      <c r="H260" s="19"/>
      <c r="I260" s="19"/>
      <c r="J260" s="19"/>
      <c r="K260" s="19"/>
      <c r="L260" s="22"/>
      <c r="M260" s="22"/>
      <c r="N260" s="9"/>
      <c r="O260" s="9"/>
      <c r="P260" s="9"/>
      <c r="Q260" s="9"/>
      <c r="R260" s="9"/>
      <c r="S260" s="9"/>
      <c r="T260" s="9"/>
      <c r="U260" s="9"/>
      <c r="V260" s="9"/>
      <c r="W260" s="9"/>
      <c r="X260" s="9"/>
      <c r="Y260" s="9"/>
    </row>
    <row r="261" ht="15.75" customHeight="1">
      <c r="A261" s="17"/>
      <c r="B261" s="17"/>
      <c r="C261" s="19"/>
      <c r="D261" s="19"/>
      <c r="E261" s="19"/>
      <c r="F261" s="19"/>
      <c r="G261" s="19"/>
      <c r="H261" s="19"/>
      <c r="I261" s="19"/>
      <c r="J261" s="19"/>
      <c r="K261" s="19"/>
      <c r="L261" s="22"/>
      <c r="M261" s="22"/>
      <c r="N261" s="9"/>
      <c r="O261" s="9"/>
      <c r="P261" s="9"/>
      <c r="Q261" s="9"/>
      <c r="R261" s="9"/>
      <c r="S261" s="9"/>
      <c r="T261" s="9"/>
      <c r="U261" s="9"/>
      <c r="V261" s="9"/>
      <c r="W261" s="9"/>
      <c r="X261" s="9"/>
      <c r="Y261" s="9"/>
    </row>
    <row r="262" ht="15.75" customHeight="1">
      <c r="A262" s="17"/>
      <c r="B262" s="17"/>
      <c r="C262" s="19"/>
      <c r="D262" s="19"/>
      <c r="E262" s="19"/>
      <c r="F262" s="19"/>
      <c r="G262" s="19"/>
      <c r="H262" s="19"/>
      <c r="I262" s="19"/>
      <c r="J262" s="19"/>
      <c r="K262" s="19"/>
      <c r="L262" s="22"/>
      <c r="M262" s="22"/>
      <c r="N262" s="9"/>
      <c r="O262" s="9"/>
      <c r="P262" s="9"/>
      <c r="Q262" s="9"/>
      <c r="R262" s="9"/>
      <c r="S262" s="9"/>
      <c r="T262" s="9"/>
      <c r="U262" s="9"/>
      <c r="V262" s="9"/>
      <c r="W262" s="9"/>
      <c r="X262" s="9"/>
      <c r="Y262" s="9"/>
    </row>
    <row r="263" ht="15.75" customHeight="1">
      <c r="A263" s="17"/>
      <c r="B263" s="17"/>
      <c r="C263" s="19"/>
      <c r="D263" s="19"/>
      <c r="E263" s="19"/>
      <c r="F263" s="19"/>
      <c r="G263" s="19"/>
      <c r="H263" s="19"/>
      <c r="I263" s="19"/>
      <c r="J263" s="19"/>
      <c r="K263" s="19"/>
      <c r="L263" s="22"/>
      <c r="M263" s="22"/>
      <c r="N263" s="9"/>
      <c r="O263" s="9"/>
      <c r="P263" s="9"/>
      <c r="Q263" s="9"/>
      <c r="R263" s="9"/>
      <c r="S263" s="9"/>
      <c r="T263" s="9"/>
      <c r="U263" s="9"/>
      <c r="V263" s="9"/>
      <c r="W263" s="9"/>
      <c r="X263" s="9"/>
      <c r="Y263" s="9"/>
    </row>
    <row r="264" ht="15.75" customHeight="1">
      <c r="A264" s="17"/>
      <c r="B264" s="17"/>
      <c r="C264" s="19"/>
      <c r="D264" s="19"/>
      <c r="E264" s="19"/>
      <c r="F264" s="19"/>
      <c r="G264" s="19"/>
      <c r="H264" s="19"/>
      <c r="I264" s="19"/>
      <c r="J264" s="19"/>
      <c r="K264" s="19"/>
      <c r="L264" s="22"/>
      <c r="M264" s="22"/>
      <c r="N264" s="9"/>
      <c r="O264" s="9"/>
      <c r="P264" s="9"/>
      <c r="Q264" s="9"/>
      <c r="R264" s="9"/>
      <c r="S264" s="9"/>
      <c r="T264" s="9"/>
      <c r="U264" s="9"/>
      <c r="V264" s="9"/>
      <c r="W264" s="9"/>
      <c r="X264" s="9"/>
      <c r="Y264" s="9"/>
    </row>
    <row r="265" ht="15.75" customHeight="1">
      <c r="A265" s="17"/>
      <c r="B265" s="17"/>
      <c r="C265" s="19"/>
      <c r="D265" s="19"/>
      <c r="E265" s="19"/>
      <c r="F265" s="19"/>
      <c r="G265" s="19"/>
      <c r="H265" s="19"/>
      <c r="I265" s="19"/>
      <c r="J265" s="19"/>
      <c r="K265" s="19"/>
      <c r="L265" s="22"/>
      <c r="M265" s="22"/>
      <c r="N265" s="9"/>
      <c r="O265" s="9"/>
      <c r="P265" s="9"/>
      <c r="Q265" s="9"/>
      <c r="R265" s="9"/>
      <c r="S265" s="9"/>
      <c r="T265" s="9"/>
      <c r="U265" s="9"/>
      <c r="V265" s="9"/>
      <c r="W265" s="9"/>
      <c r="X265" s="9"/>
      <c r="Y265" s="9"/>
    </row>
    <row r="266" ht="15.75" customHeight="1">
      <c r="A266" s="17"/>
      <c r="B266" s="17"/>
      <c r="C266" s="19"/>
      <c r="D266" s="19"/>
      <c r="E266" s="19"/>
      <c r="F266" s="19"/>
      <c r="G266" s="19"/>
      <c r="H266" s="19"/>
      <c r="I266" s="19"/>
      <c r="J266" s="19"/>
      <c r="K266" s="19"/>
      <c r="L266" s="22"/>
      <c r="M266" s="22"/>
      <c r="N266" s="9"/>
      <c r="O266" s="9"/>
      <c r="P266" s="9"/>
      <c r="Q266" s="9"/>
      <c r="R266" s="9"/>
      <c r="S266" s="9"/>
      <c r="T266" s="9"/>
      <c r="U266" s="9"/>
      <c r="V266" s="9"/>
      <c r="W266" s="9"/>
      <c r="X266" s="9"/>
      <c r="Y266" s="9"/>
    </row>
    <row r="267" ht="15.75" customHeight="1">
      <c r="A267" s="17"/>
      <c r="B267" s="17"/>
      <c r="C267" s="19"/>
      <c r="D267" s="19"/>
      <c r="E267" s="19"/>
      <c r="F267" s="19"/>
      <c r="G267" s="19"/>
      <c r="H267" s="19"/>
      <c r="I267" s="19"/>
      <c r="J267" s="19"/>
      <c r="K267" s="19"/>
      <c r="L267" s="22"/>
      <c r="M267" s="22"/>
      <c r="N267" s="9"/>
      <c r="O267" s="9"/>
      <c r="P267" s="9"/>
      <c r="Q267" s="9"/>
      <c r="R267" s="9"/>
      <c r="S267" s="9"/>
      <c r="T267" s="9"/>
      <c r="U267" s="9"/>
      <c r="V267" s="9"/>
      <c r="W267" s="9"/>
      <c r="X267" s="9"/>
      <c r="Y267" s="9"/>
    </row>
    <row r="268" ht="15.75" customHeight="1">
      <c r="A268" s="17"/>
      <c r="B268" s="17"/>
      <c r="C268" s="19"/>
      <c r="D268" s="19"/>
      <c r="E268" s="19"/>
      <c r="F268" s="19"/>
      <c r="G268" s="19"/>
      <c r="H268" s="19"/>
      <c r="I268" s="19"/>
      <c r="J268" s="19"/>
      <c r="K268" s="19"/>
      <c r="L268" s="22"/>
      <c r="M268" s="22"/>
      <c r="N268" s="9"/>
      <c r="O268" s="9"/>
      <c r="P268" s="9"/>
      <c r="Q268" s="9"/>
      <c r="R268" s="9"/>
      <c r="S268" s="9"/>
      <c r="T268" s="9"/>
      <c r="U268" s="9"/>
      <c r="V268" s="9"/>
      <c r="W268" s="9"/>
      <c r="X268" s="9"/>
      <c r="Y268" s="9"/>
    </row>
    <row r="269" ht="15.75" customHeight="1">
      <c r="A269" s="17"/>
      <c r="B269" s="17"/>
      <c r="C269" s="19"/>
      <c r="D269" s="19"/>
      <c r="E269" s="19"/>
      <c r="F269" s="19"/>
      <c r="G269" s="19"/>
      <c r="H269" s="19"/>
      <c r="I269" s="19"/>
      <c r="J269" s="19"/>
      <c r="K269" s="19"/>
      <c r="L269" s="22"/>
      <c r="M269" s="22"/>
      <c r="N269" s="9"/>
      <c r="O269" s="9"/>
      <c r="P269" s="9"/>
      <c r="Q269" s="9"/>
      <c r="R269" s="9"/>
      <c r="S269" s="9"/>
      <c r="T269" s="9"/>
      <c r="U269" s="9"/>
      <c r="V269" s="9"/>
      <c r="W269" s="9"/>
      <c r="X269" s="9"/>
      <c r="Y269" s="9"/>
    </row>
    <row r="270" ht="15.75" customHeight="1">
      <c r="A270" s="17"/>
      <c r="B270" s="17"/>
      <c r="C270" s="19"/>
      <c r="D270" s="19"/>
      <c r="E270" s="19"/>
      <c r="F270" s="19"/>
      <c r="G270" s="19"/>
      <c r="H270" s="19"/>
      <c r="I270" s="19"/>
      <c r="J270" s="19"/>
      <c r="K270" s="19"/>
      <c r="L270" s="22"/>
      <c r="M270" s="22"/>
      <c r="N270" s="9"/>
      <c r="O270" s="9"/>
      <c r="P270" s="9"/>
      <c r="Q270" s="9"/>
      <c r="R270" s="9"/>
      <c r="S270" s="9"/>
      <c r="T270" s="9"/>
      <c r="U270" s="9"/>
      <c r="V270" s="9"/>
      <c r="W270" s="9"/>
      <c r="X270" s="9"/>
      <c r="Y270" s="9"/>
    </row>
    <row r="271" ht="15.75" customHeight="1">
      <c r="A271" s="17"/>
      <c r="B271" s="17"/>
      <c r="C271" s="19"/>
      <c r="D271" s="19"/>
      <c r="E271" s="19"/>
      <c r="F271" s="19"/>
      <c r="G271" s="19"/>
      <c r="H271" s="19"/>
      <c r="I271" s="19"/>
      <c r="J271" s="19"/>
      <c r="K271" s="19"/>
      <c r="L271" s="22"/>
      <c r="M271" s="22"/>
      <c r="N271" s="9"/>
      <c r="O271" s="9"/>
      <c r="P271" s="9"/>
      <c r="Q271" s="9"/>
      <c r="R271" s="9"/>
      <c r="S271" s="9"/>
      <c r="T271" s="9"/>
      <c r="U271" s="9"/>
      <c r="V271" s="9"/>
      <c r="W271" s="9"/>
      <c r="X271" s="9"/>
      <c r="Y271" s="9"/>
    </row>
    <row r="272" ht="15.75" customHeight="1">
      <c r="A272" s="17"/>
      <c r="B272" s="17"/>
      <c r="C272" s="19"/>
      <c r="D272" s="19"/>
      <c r="E272" s="19"/>
      <c r="F272" s="19"/>
      <c r="G272" s="19"/>
      <c r="H272" s="19"/>
      <c r="I272" s="19"/>
      <c r="J272" s="19"/>
      <c r="K272" s="19"/>
      <c r="L272" s="22"/>
      <c r="M272" s="22"/>
      <c r="N272" s="9"/>
      <c r="O272" s="9"/>
      <c r="P272" s="9"/>
      <c r="Q272" s="9"/>
      <c r="R272" s="9"/>
      <c r="S272" s="9"/>
      <c r="T272" s="9"/>
      <c r="U272" s="9"/>
      <c r="V272" s="9"/>
      <c r="W272" s="9"/>
      <c r="X272" s="9"/>
      <c r="Y272" s="9"/>
    </row>
    <row r="273" ht="15.75" customHeight="1">
      <c r="A273" s="17"/>
      <c r="B273" s="17"/>
      <c r="C273" s="19"/>
      <c r="D273" s="19"/>
      <c r="E273" s="19"/>
      <c r="F273" s="19"/>
      <c r="G273" s="19"/>
      <c r="H273" s="19"/>
      <c r="I273" s="19"/>
      <c r="J273" s="19"/>
      <c r="K273" s="19"/>
      <c r="L273" s="22"/>
      <c r="M273" s="22"/>
      <c r="N273" s="9"/>
      <c r="O273" s="9"/>
      <c r="P273" s="9"/>
      <c r="Q273" s="9"/>
      <c r="R273" s="9"/>
      <c r="S273" s="9"/>
      <c r="T273" s="9"/>
      <c r="U273" s="9"/>
      <c r="V273" s="9"/>
      <c r="W273" s="9"/>
      <c r="X273" s="9"/>
      <c r="Y273" s="9"/>
    </row>
    <row r="274" ht="15.75" customHeight="1">
      <c r="A274" s="17"/>
      <c r="B274" s="17"/>
      <c r="C274" s="19"/>
      <c r="D274" s="19"/>
      <c r="E274" s="19"/>
      <c r="F274" s="19"/>
      <c r="G274" s="19"/>
      <c r="H274" s="19"/>
      <c r="I274" s="19"/>
      <c r="J274" s="19"/>
      <c r="K274" s="19"/>
      <c r="L274" s="22"/>
      <c r="M274" s="22"/>
      <c r="N274" s="9"/>
      <c r="O274" s="9"/>
      <c r="P274" s="9"/>
      <c r="Q274" s="9"/>
      <c r="R274" s="9"/>
      <c r="S274" s="9"/>
      <c r="T274" s="9"/>
      <c r="U274" s="9"/>
      <c r="V274" s="9"/>
      <c r="W274" s="9"/>
      <c r="X274" s="9"/>
      <c r="Y274" s="9"/>
    </row>
    <row r="275" ht="15.75" customHeight="1">
      <c r="A275" s="17"/>
      <c r="B275" s="17"/>
      <c r="C275" s="19"/>
      <c r="D275" s="19"/>
      <c r="E275" s="19"/>
      <c r="F275" s="19"/>
      <c r="G275" s="19"/>
      <c r="H275" s="19"/>
      <c r="I275" s="19"/>
      <c r="J275" s="19"/>
      <c r="K275" s="19"/>
      <c r="L275" s="22"/>
      <c r="M275" s="22"/>
      <c r="N275" s="9"/>
      <c r="O275" s="9"/>
      <c r="P275" s="9"/>
      <c r="Q275" s="9"/>
      <c r="R275" s="9"/>
      <c r="S275" s="9"/>
      <c r="T275" s="9"/>
      <c r="U275" s="9"/>
      <c r="V275" s="9"/>
      <c r="W275" s="9"/>
      <c r="X275" s="9"/>
      <c r="Y275" s="9"/>
    </row>
    <row r="276" ht="15.75" customHeight="1">
      <c r="A276" s="17"/>
      <c r="B276" s="17"/>
      <c r="C276" s="19"/>
      <c r="D276" s="19"/>
      <c r="E276" s="19"/>
      <c r="F276" s="19"/>
      <c r="G276" s="19"/>
      <c r="H276" s="19"/>
      <c r="I276" s="19"/>
      <c r="J276" s="19"/>
      <c r="K276" s="19"/>
      <c r="L276" s="22"/>
      <c r="M276" s="22"/>
      <c r="N276" s="9"/>
      <c r="O276" s="9"/>
      <c r="P276" s="9"/>
      <c r="Q276" s="9"/>
      <c r="R276" s="9"/>
      <c r="S276" s="9"/>
      <c r="T276" s="9"/>
      <c r="U276" s="9"/>
      <c r="V276" s="9"/>
      <c r="W276" s="9"/>
      <c r="X276" s="9"/>
      <c r="Y276" s="9"/>
    </row>
    <row r="277" ht="15.75" customHeight="1">
      <c r="A277" s="17"/>
      <c r="B277" s="17"/>
      <c r="C277" s="19"/>
      <c r="D277" s="19"/>
      <c r="E277" s="19"/>
      <c r="F277" s="19"/>
      <c r="G277" s="19"/>
      <c r="H277" s="19"/>
      <c r="I277" s="19"/>
      <c r="J277" s="19"/>
      <c r="K277" s="19"/>
      <c r="L277" s="22"/>
      <c r="M277" s="22"/>
      <c r="N277" s="9"/>
      <c r="O277" s="9"/>
      <c r="P277" s="9"/>
      <c r="Q277" s="9"/>
      <c r="R277" s="9"/>
      <c r="S277" s="9"/>
      <c r="T277" s="9"/>
      <c r="U277" s="9"/>
      <c r="V277" s="9"/>
      <c r="W277" s="9"/>
      <c r="X277" s="9"/>
      <c r="Y277" s="9"/>
    </row>
    <row r="278" ht="15.75" customHeight="1">
      <c r="A278" s="17"/>
      <c r="B278" s="17"/>
      <c r="C278" s="19"/>
      <c r="D278" s="19"/>
      <c r="E278" s="19"/>
      <c r="F278" s="19"/>
      <c r="G278" s="19"/>
      <c r="H278" s="19"/>
      <c r="I278" s="19"/>
      <c r="J278" s="19"/>
      <c r="K278" s="19"/>
      <c r="L278" s="22"/>
      <c r="M278" s="22"/>
      <c r="N278" s="9"/>
      <c r="O278" s="9"/>
      <c r="P278" s="9"/>
      <c r="Q278" s="9"/>
      <c r="R278" s="9"/>
      <c r="S278" s="9"/>
      <c r="T278" s="9"/>
      <c r="U278" s="9"/>
      <c r="V278" s="9"/>
      <c r="W278" s="9"/>
      <c r="X278" s="9"/>
      <c r="Y278" s="9"/>
    </row>
    <row r="279" ht="15.75" customHeight="1">
      <c r="A279" s="17"/>
      <c r="B279" s="17"/>
      <c r="C279" s="19"/>
      <c r="D279" s="19"/>
      <c r="E279" s="19"/>
      <c r="F279" s="19"/>
      <c r="G279" s="19"/>
      <c r="H279" s="19"/>
      <c r="I279" s="19"/>
      <c r="J279" s="19"/>
      <c r="K279" s="19"/>
      <c r="L279" s="22"/>
      <c r="M279" s="22"/>
      <c r="N279" s="9"/>
      <c r="O279" s="9"/>
      <c r="P279" s="9"/>
      <c r="Q279" s="9"/>
      <c r="R279" s="9"/>
      <c r="S279" s="9"/>
      <c r="T279" s="9"/>
      <c r="U279" s="9"/>
      <c r="V279" s="9"/>
      <c r="W279" s="9"/>
      <c r="X279" s="9"/>
      <c r="Y279" s="9"/>
    </row>
    <row r="280" ht="15.75" customHeight="1">
      <c r="A280" s="17"/>
      <c r="B280" s="17"/>
      <c r="C280" s="19"/>
      <c r="D280" s="19"/>
      <c r="E280" s="19"/>
      <c r="F280" s="19"/>
      <c r="G280" s="19"/>
      <c r="H280" s="19"/>
      <c r="I280" s="19"/>
      <c r="J280" s="19"/>
      <c r="K280" s="19"/>
      <c r="L280" s="22"/>
      <c r="M280" s="22"/>
      <c r="N280" s="9"/>
      <c r="O280" s="9"/>
      <c r="P280" s="9"/>
      <c r="Q280" s="9"/>
      <c r="R280" s="9"/>
      <c r="S280" s="9"/>
      <c r="T280" s="9"/>
      <c r="U280" s="9"/>
      <c r="V280" s="9"/>
      <c r="W280" s="9"/>
      <c r="X280" s="9"/>
      <c r="Y280" s="9"/>
    </row>
    <row r="281" ht="15.75" customHeight="1">
      <c r="A281" s="17"/>
      <c r="B281" s="17"/>
      <c r="C281" s="19"/>
      <c r="D281" s="19"/>
      <c r="E281" s="19"/>
      <c r="F281" s="19"/>
      <c r="G281" s="19"/>
      <c r="H281" s="19"/>
      <c r="I281" s="19"/>
      <c r="J281" s="19"/>
      <c r="K281" s="19"/>
      <c r="L281" s="22"/>
      <c r="M281" s="22"/>
      <c r="N281" s="9"/>
      <c r="O281" s="9"/>
      <c r="P281" s="9"/>
      <c r="Q281" s="9"/>
      <c r="R281" s="9"/>
      <c r="S281" s="9"/>
      <c r="T281" s="9"/>
      <c r="U281" s="9"/>
      <c r="V281" s="9"/>
      <c r="W281" s="9"/>
      <c r="X281" s="9"/>
      <c r="Y281" s="9"/>
    </row>
    <row r="282" ht="15.75" customHeight="1">
      <c r="A282" s="17"/>
      <c r="B282" s="17"/>
      <c r="C282" s="19"/>
      <c r="D282" s="19"/>
      <c r="E282" s="19"/>
      <c r="F282" s="19"/>
      <c r="G282" s="19"/>
      <c r="H282" s="19"/>
      <c r="I282" s="19"/>
      <c r="J282" s="19"/>
      <c r="K282" s="19"/>
      <c r="L282" s="22"/>
      <c r="M282" s="22"/>
      <c r="N282" s="9"/>
      <c r="O282" s="9"/>
      <c r="P282" s="9"/>
      <c r="Q282" s="9"/>
      <c r="R282" s="9"/>
      <c r="S282" s="9"/>
      <c r="T282" s="9"/>
      <c r="U282" s="9"/>
      <c r="V282" s="9"/>
      <c r="W282" s="9"/>
      <c r="X282" s="9"/>
      <c r="Y282" s="9"/>
    </row>
    <row r="283" ht="15.75" customHeight="1">
      <c r="A283" s="17"/>
      <c r="B283" s="17"/>
      <c r="C283" s="19"/>
      <c r="D283" s="19"/>
      <c r="E283" s="19"/>
      <c r="F283" s="19"/>
      <c r="G283" s="19"/>
      <c r="H283" s="19"/>
      <c r="I283" s="19"/>
      <c r="J283" s="19"/>
      <c r="K283" s="19"/>
      <c r="L283" s="22"/>
      <c r="M283" s="22"/>
      <c r="N283" s="9"/>
      <c r="O283" s="9"/>
      <c r="P283" s="9"/>
      <c r="Q283" s="9"/>
      <c r="R283" s="9"/>
      <c r="S283" s="9"/>
      <c r="T283" s="9"/>
      <c r="U283" s="9"/>
      <c r="V283" s="9"/>
      <c r="W283" s="9"/>
      <c r="X283" s="9"/>
      <c r="Y283" s="9"/>
    </row>
    <row r="284" ht="15.75" customHeight="1">
      <c r="A284" s="17"/>
      <c r="B284" s="17"/>
      <c r="C284" s="19"/>
      <c r="D284" s="19"/>
      <c r="E284" s="19"/>
      <c r="F284" s="19"/>
      <c r="G284" s="19"/>
      <c r="H284" s="19"/>
      <c r="I284" s="19"/>
      <c r="J284" s="19"/>
      <c r="K284" s="19"/>
      <c r="L284" s="22"/>
      <c r="M284" s="22"/>
      <c r="N284" s="9"/>
      <c r="O284" s="9"/>
      <c r="P284" s="9"/>
      <c r="Q284" s="9"/>
      <c r="R284" s="9"/>
      <c r="S284" s="9"/>
      <c r="T284" s="9"/>
      <c r="U284" s="9"/>
      <c r="V284" s="9"/>
      <c r="W284" s="9"/>
      <c r="X284" s="9"/>
      <c r="Y284" s="9"/>
    </row>
    <row r="285" ht="15.75" customHeight="1">
      <c r="A285" s="17"/>
      <c r="B285" s="17"/>
      <c r="C285" s="19"/>
      <c r="D285" s="19"/>
      <c r="E285" s="19"/>
      <c r="F285" s="19"/>
      <c r="G285" s="19"/>
      <c r="H285" s="19"/>
      <c r="I285" s="19"/>
      <c r="J285" s="19"/>
      <c r="K285" s="19"/>
      <c r="L285" s="22"/>
      <c r="M285" s="22"/>
      <c r="N285" s="9"/>
      <c r="O285" s="9"/>
      <c r="P285" s="9"/>
      <c r="Q285" s="9"/>
      <c r="R285" s="9"/>
      <c r="S285" s="9"/>
      <c r="T285" s="9"/>
      <c r="U285" s="9"/>
      <c r="V285" s="9"/>
      <c r="W285" s="9"/>
      <c r="X285" s="9"/>
      <c r="Y285" s="9"/>
    </row>
    <row r="286" ht="15.75" customHeight="1">
      <c r="A286" s="17"/>
      <c r="B286" s="17"/>
      <c r="C286" s="19"/>
      <c r="D286" s="19"/>
      <c r="E286" s="19"/>
      <c r="F286" s="19"/>
      <c r="G286" s="19"/>
      <c r="H286" s="19"/>
      <c r="I286" s="19"/>
      <c r="J286" s="19"/>
      <c r="K286" s="19"/>
      <c r="L286" s="22"/>
      <c r="M286" s="22"/>
      <c r="N286" s="9"/>
      <c r="O286" s="9"/>
      <c r="P286" s="9"/>
      <c r="Q286" s="9"/>
      <c r="R286" s="9"/>
      <c r="S286" s="9"/>
      <c r="T286" s="9"/>
      <c r="U286" s="9"/>
      <c r="V286" s="9"/>
      <c r="W286" s="9"/>
      <c r="X286" s="9"/>
      <c r="Y286" s="9"/>
    </row>
    <row r="287" ht="15.75" customHeight="1">
      <c r="A287" s="17"/>
      <c r="B287" s="17"/>
      <c r="C287" s="19"/>
      <c r="D287" s="19"/>
      <c r="E287" s="19"/>
      <c r="F287" s="19"/>
      <c r="G287" s="19"/>
      <c r="H287" s="19"/>
      <c r="I287" s="19"/>
      <c r="J287" s="19"/>
      <c r="K287" s="19"/>
      <c r="L287" s="22"/>
      <c r="M287" s="22"/>
      <c r="N287" s="9"/>
      <c r="O287" s="9"/>
      <c r="P287" s="9"/>
      <c r="Q287" s="9"/>
      <c r="R287" s="9"/>
      <c r="S287" s="9"/>
      <c r="T287" s="9"/>
      <c r="U287" s="9"/>
      <c r="V287" s="9"/>
      <c r="W287" s="9"/>
      <c r="X287" s="9"/>
      <c r="Y287" s="9"/>
    </row>
    <row r="288" ht="15.75" customHeight="1">
      <c r="A288" s="17"/>
      <c r="B288" s="17"/>
      <c r="C288" s="19"/>
      <c r="D288" s="19"/>
      <c r="E288" s="19"/>
      <c r="F288" s="19"/>
      <c r="G288" s="19"/>
      <c r="H288" s="19"/>
      <c r="I288" s="19"/>
      <c r="J288" s="19"/>
      <c r="K288" s="19"/>
      <c r="L288" s="22"/>
      <c r="M288" s="22"/>
      <c r="N288" s="9"/>
      <c r="O288" s="9"/>
      <c r="P288" s="9"/>
      <c r="Q288" s="9"/>
      <c r="R288" s="9"/>
      <c r="S288" s="9"/>
      <c r="T288" s="9"/>
      <c r="U288" s="9"/>
      <c r="V288" s="9"/>
      <c r="W288" s="9"/>
      <c r="X288" s="9"/>
      <c r="Y288" s="9"/>
    </row>
    <row r="289" ht="15.75" customHeight="1">
      <c r="A289" s="17"/>
      <c r="B289" s="17"/>
      <c r="C289" s="19"/>
      <c r="D289" s="19"/>
      <c r="E289" s="19"/>
      <c r="F289" s="19"/>
      <c r="G289" s="19"/>
      <c r="H289" s="19"/>
      <c r="I289" s="19"/>
      <c r="J289" s="19"/>
      <c r="K289" s="19"/>
      <c r="L289" s="22"/>
      <c r="M289" s="22"/>
      <c r="N289" s="9"/>
      <c r="O289" s="9"/>
      <c r="P289" s="9"/>
      <c r="Q289" s="9"/>
      <c r="R289" s="9"/>
      <c r="S289" s="9"/>
      <c r="T289" s="9"/>
      <c r="U289" s="9"/>
      <c r="V289" s="9"/>
      <c r="W289" s="9"/>
      <c r="X289" s="9"/>
      <c r="Y289" s="9"/>
    </row>
    <row r="290" ht="15.75" customHeight="1">
      <c r="A290" s="17"/>
      <c r="B290" s="17"/>
      <c r="C290" s="19"/>
      <c r="D290" s="19"/>
      <c r="E290" s="19"/>
      <c r="F290" s="19"/>
      <c r="G290" s="19"/>
      <c r="H290" s="19"/>
      <c r="I290" s="19"/>
      <c r="J290" s="19"/>
      <c r="K290" s="19"/>
      <c r="L290" s="22"/>
      <c r="M290" s="22"/>
      <c r="N290" s="9"/>
      <c r="O290" s="9"/>
      <c r="P290" s="9"/>
      <c r="Q290" s="9"/>
      <c r="R290" s="9"/>
      <c r="S290" s="9"/>
      <c r="T290" s="9"/>
      <c r="U290" s="9"/>
      <c r="V290" s="9"/>
      <c r="W290" s="9"/>
      <c r="X290" s="9"/>
      <c r="Y290" s="9"/>
    </row>
    <row r="291" ht="15.75" customHeight="1">
      <c r="A291" s="17"/>
      <c r="B291" s="17"/>
      <c r="C291" s="19"/>
      <c r="D291" s="19"/>
      <c r="E291" s="19"/>
      <c r="F291" s="19"/>
      <c r="G291" s="19"/>
      <c r="H291" s="19"/>
      <c r="I291" s="19"/>
      <c r="J291" s="19"/>
      <c r="K291" s="19"/>
      <c r="L291" s="22"/>
      <c r="M291" s="22"/>
      <c r="N291" s="9"/>
      <c r="O291" s="9"/>
      <c r="P291" s="9"/>
      <c r="Q291" s="9"/>
      <c r="R291" s="9"/>
      <c r="S291" s="9"/>
      <c r="T291" s="9"/>
      <c r="U291" s="9"/>
      <c r="V291" s="9"/>
      <c r="W291" s="9"/>
      <c r="X291" s="9"/>
      <c r="Y291" s="9"/>
    </row>
    <row r="292" ht="15.75" customHeight="1">
      <c r="A292" s="17"/>
      <c r="B292" s="17"/>
      <c r="C292" s="19"/>
      <c r="D292" s="19"/>
      <c r="E292" s="19"/>
      <c r="F292" s="19"/>
      <c r="G292" s="19"/>
      <c r="H292" s="19"/>
      <c r="I292" s="19"/>
      <c r="J292" s="19"/>
      <c r="K292" s="19"/>
      <c r="L292" s="22"/>
      <c r="M292" s="22"/>
      <c r="N292" s="9"/>
      <c r="O292" s="9"/>
      <c r="P292" s="9"/>
      <c r="Q292" s="9"/>
      <c r="R292" s="9"/>
      <c r="S292" s="9"/>
      <c r="T292" s="9"/>
      <c r="U292" s="9"/>
      <c r="V292" s="9"/>
      <c r="W292" s="9"/>
      <c r="X292" s="9"/>
      <c r="Y292" s="9"/>
    </row>
    <row r="293" ht="15.75" customHeight="1">
      <c r="A293" s="17"/>
      <c r="B293" s="17"/>
      <c r="C293" s="19"/>
      <c r="D293" s="19"/>
      <c r="E293" s="19"/>
      <c r="F293" s="19"/>
      <c r="G293" s="19"/>
      <c r="H293" s="19"/>
      <c r="I293" s="19"/>
      <c r="J293" s="19"/>
      <c r="K293" s="19"/>
      <c r="L293" s="22"/>
      <c r="M293" s="22"/>
      <c r="N293" s="9"/>
      <c r="O293" s="9"/>
      <c r="P293" s="9"/>
      <c r="Q293" s="9"/>
      <c r="R293" s="9"/>
      <c r="S293" s="9"/>
      <c r="T293" s="9"/>
      <c r="U293" s="9"/>
      <c r="V293" s="9"/>
      <c r="W293" s="9"/>
      <c r="X293" s="9"/>
      <c r="Y293" s="9"/>
    </row>
    <row r="294" ht="15.75" customHeight="1">
      <c r="A294" s="17"/>
      <c r="B294" s="17"/>
      <c r="C294" s="19"/>
      <c r="D294" s="19"/>
      <c r="E294" s="19"/>
      <c r="F294" s="19"/>
      <c r="G294" s="19"/>
      <c r="H294" s="19"/>
      <c r="I294" s="19"/>
      <c r="J294" s="19"/>
      <c r="K294" s="19"/>
      <c r="L294" s="22"/>
      <c r="M294" s="22"/>
      <c r="N294" s="9"/>
      <c r="O294" s="9"/>
      <c r="P294" s="9"/>
      <c r="Q294" s="9"/>
      <c r="R294" s="9"/>
      <c r="S294" s="9"/>
      <c r="T294" s="9"/>
      <c r="U294" s="9"/>
      <c r="V294" s="9"/>
      <c r="W294" s="9"/>
      <c r="X294" s="9"/>
      <c r="Y294" s="9"/>
    </row>
    <row r="295" ht="15.75" customHeight="1">
      <c r="A295" s="17"/>
      <c r="B295" s="17"/>
      <c r="C295" s="19"/>
      <c r="D295" s="19"/>
      <c r="E295" s="19"/>
      <c r="F295" s="19"/>
      <c r="G295" s="19"/>
      <c r="H295" s="19"/>
      <c r="I295" s="19"/>
      <c r="J295" s="19"/>
      <c r="K295" s="19"/>
      <c r="L295" s="22"/>
      <c r="M295" s="22"/>
      <c r="N295" s="9"/>
      <c r="O295" s="9"/>
      <c r="P295" s="9"/>
      <c r="Q295" s="9"/>
      <c r="R295" s="9"/>
      <c r="S295" s="9"/>
      <c r="T295" s="9"/>
      <c r="U295" s="9"/>
      <c r="V295" s="9"/>
      <c r="W295" s="9"/>
      <c r="X295" s="9"/>
      <c r="Y295" s="9"/>
    </row>
    <row r="296" ht="15.75" customHeight="1">
      <c r="A296" s="17"/>
      <c r="B296" s="17"/>
      <c r="C296" s="19"/>
      <c r="D296" s="19"/>
      <c r="E296" s="19"/>
      <c r="F296" s="19"/>
      <c r="G296" s="19"/>
      <c r="H296" s="19"/>
      <c r="I296" s="19"/>
      <c r="J296" s="19"/>
      <c r="K296" s="19"/>
      <c r="L296" s="22"/>
      <c r="M296" s="22"/>
      <c r="N296" s="9"/>
      <c r="O296" s="9"/>
      <c r="P296" s="9"/>
      <c r="Q296" s="9"/>
      <c r="R296" s="9"/>
      <c r="S296" s="9"/>
      <c r="T296" s="9"/>
      <c r="U296" s="9"/>
      <c r="V296" s="9"/>
      <c r="W296" s="9"/>
      <c r="X296" s="9"/>
      <c r="Y296" s="9"/>
    </row>
    <row r="297" ht="15.75" customHeight="1">
      <c r="A297" s="17"/>
      <c r="B297" s="17"/>
      <c r="C297" s="19"/>
      <c r="D297" s="19"/>
      <c r="E297" s="19"/>
      <c r="F297" s="19"/>
      <c r="G297" s="19"/>
      <c r="H297" s="19"/>
      <c r="I297" s="19"/>
      <c r="J297" s="19"/>
      <c r="K297" s="19"/>
      <c r="L297" s="22"/>
      <c r="M297" s="22"/>
      <c r="N297" s="9"/>
      <c r="O297" s="9"/>
      <c r="P297" s="9"/>
      <c r="Q297" s="9"/>
      <c r="R297" s="9"/>
      <c r="S297" s="9"/>
      <c r="T297" s="9"/>
      <c r="U297" s="9"/>
      <c r="V297" s="9"/>
      <c r="W297" s="9"/>
      <c r="X297" s="9"/>
      <c r="Y297" s="9"/>
    </row>
    <row r="298" ht="15.75" customHeight="1">
      <c r="A298" s="17"/>
      <c r="B298" s="17"/>
      <c r="C298" s="19"/>
      <c r="D298" s="19"/>
      <c r="E298" s="19"/>
      <c r="F298" s="19"/>
      <c r="G298" s="19"/>
      <c r="H298" s="19"/>
      <c r="I298" s="19"/>
      <c r="J298" s="19"/>
      <c r="K298" s="19"/>
      <c r="L298" s="22"/>
      <c r="M298" s="22"/>
      <c r="N298" s="9"/>
      <c r="O298" s="9"/>
      <c r="P298" s="9"/>
      <c r="Q298" s="9"/>
      <c r="R298" s="9"/>
      <c r="S298" s="9"/>
      <c r="T298" s="9"/>
      <c r="U298" s="9"/>
      <c r="V298" s="9"/>
      <c r="W298" s="9"/>
      <c r="X298" s="9"/>
      <c r="Y298" s="9"/>
    </row>
    <row r="299" ht="15.75" customHeight="1">
      <c r="A299" s="17"/>
      <c r="B299" s="17"/>
      <c r="C299" s="19"/>
      <c r="D299" s="19"/>
      <c r="E299" s="19"/>
      <c r="F299" s="19"/>
      <c r="G299" s="19"/>
      <c r="H299" s="19"/>
      <c r="I299" s="19"/>
      <c r="J299" s="19"/>
      <c r="K299" s="19"/>
      <c r="L299" s="22"/>
      <c r="M299" s="22"/>
      <c r="N299" s="9"/>
      <c r="O299" s="9"/>
      <c r="P299" s="9"/>
      <c r="Q299" s="9"/>
      <c r="R299" s="9"/>
      <c r="S299" s="9"/>
      <c r="T299" s="9"/>
      <c r="U299" s="9"/>
      <c r="V299" s="9"/>
      <c r="W299" s="9"/>
      <c r="X299" s="9"/>
      <c r="Y299" s="9"/>
    </row>
    <row r="300" ht="15.75" customHeight="1">
      <c r="A300" s="17"/>
      <c r="B300" s="17"/>
      <c r="C300" s="19"/>
      <c r="D300" s="19"/>
      <c r="E300" s="19"/>
      <c r="F300" s="19"/>
      <c r="G300" s="19"/>
      <c r="H300" s="19"/>
      <c r="I300" s="19"/>
      <c r="J300" s="19"/>
      <c r="K300" s="19"/>
      <c r="L300" s="22"/>
      <c r="M300" s="22"/>
      <c r="N300" s="9"/>
      <c r="O300" s="9"/>
      <c r="P300" s="9"/>
      <c r="Q300" s="9"/>
      <c r="R300" s="9"/>
      <c r="S300" s="9"/>
      <c r="T300" s="9"/>
      <c r="U300" s="9"/>
      <c r="V300" s="9"/>
      <c r="W300" s="9"/>
      <c r="X300" s="9"/>
      <c r="Y300" s="9"/>
    </row>
    <row r="301" ht="15.75" customHeight="1">
      <c r="A301" s="17"/>
      <c r="B301" s="17"/>
      <c r="C301" s="19"/>
      <c r="D301" s="19"/>
      <c r="E301" s="19"/>
      <c r="F301" s="19"/>
      <c r="G301" s="19"/>
      <c r="H301" s="19"/>
      <c r="I301" s="19"/>
      <c r="J301" s="19"/>
      <c r="K301" s="19"/>
      <c r="L301" s="22"/>
      <c r="M301" s="22"/>
      <c r="N301" s="9"/>
      <c r="O301" s="9"/>
      <c r="P301" s="9"/>
      <c r="Q301" s="9"/>
      <c r="R301" s="9"/>
      <c r="S301" s="9"/>
      <c r="T301" s="9"/>
      <c r="U301" s="9"/>
      <c r="V301" s="9"/>
      <c r="W301" s="9"/>
      <c r="X301" s="9"/>
      <c r="Y301" s="9"/>
    </row>
    <row r="302" ht="15.75" customHeight="1">
      <c r="A302" s="17"/>
      <c r="B302" s="17"/>
      <c r="C302" s="19"/>
      <c r="D302" s="19"/>
      <c r="E302" s="19"/>
      <c r="F302" s="19"/>
      <c r="G302" s="19"/>
      <c r="H302" s="19"/>
      <c r="I302" s="19"/>
      <c r="J302" s="19"/>
      <c r="K302" s="19"/>
      <c r="L302" s="22"/>
      <c r="M302" s="22"/>
      <c r="N302" s="9"/>
      <c r="O302" s="9"/>
      <c r="P302" s="9"/>
      <c r="Q302" s="9"/>
      <c r="R302" s="9"/>
      <c r="S302" s="9"/>
      <c r="T302" s="9"/>
      <c r="U302" s="9"/>
      <c r="V302" s="9"/>
      <c r="W302" s="9"/>
      <c r="X302" s="9"/>
      <c r="Y302" s="9"/>
    </row>
    <row r="303" ht="15.75" customHeight="1">
      <c r="A303" s="17"/>
      <c r="B303" s="17"/>
      <c r="C303" s="19"/>
      <c r="D303" s="19"/>
      <c r="E303" s="19"/>
      <c r="F303" s="19"/>
      <c r="G303" s="19"/>
      <c r="H303" s="19"/>
      <c r="I303" s="19"/>
      <c r="J303" s="19"/>
      <c r="K303" s="19"/>
      <c r="L303" s="22"/>
      <c r="M303" s="22"/>
      <c r="N303" s="9"/>
      <c r="O303" s="9"/>
      <c r="P303" s="9"/>
      <c r="Q303" s="9"/>
      <c r="R303" s="9"/>
      <c r="S303" s="9"/>
      <c r="T303" s="9"/>
      <c r="U303" s="9"/>
      <c r="V303" s="9"/>
      <c r="W303" s="9"/>
      <c r="X303" s="9"/>
      <c r="Y303" s="9"/>
    </row>
    <row r="304" ht="15.75" customHeight="1">
      <c r="A304" s="17"/>
      <c r="B304" s="17"/>
      <c r="C304" s="19"/>
      <c r="D304" s="19"/>
      <c r="E304" s="19"/>
      <c r="F304" s="19"/>
      <c r="G304" s="19"/>
      <c r="H304" s="19"/>
      <c r="I304" s="19"/>
      <c r="J304" s="19"/>
      <c r="K304" s="19"/>
      <c r="L304" s="22"/>
      <c r="M304" s="22"/>
      <c r="N304" s="9"/>
      <c r="O304" s="9"/>
      <c r="P304" s="9"/>
      <c r="Q304" s="9"/>
      <c r="R304" s="9"/>
      <c r="S304" s="9"/>
      <c r="T304" s="9"/>
      <c r="U304" s="9"/>
      <c r="V304" s="9"/>
      <c r="W304" s="9"/>
      <c r="X304" s="9"/>
      <c r="Y304" s="9"/>
    </row>
    <row r="305" ht="15.75" customHeight="1">
      <c r="A305" s="17"/>
      <c r="B305" s="17"/>
      <c r="C305" s="19"/>
      <c r="D305" s="19"/>
      <c r="E305" s="19"/>
      <c r="F305" s="19"/>
      <c r="G305" s="19"/>
      <c r="H305" s="19"/>
      <c r="I305" s="19"/>
      <c r="J305" s="19"/>
      <c r="K305" s="19"/>
      <c r="L305" s="22"/>
      <c r="M305" s="22"/>
      <c r="N305" s="9"/>
      <c r="O305" s="9"/>
      <c r="P305" s="9"/>
      <c r="Q305" s="9"/>
      <c r="R305" s="9"/>
      <c r="S305" s="9"/>
      <c r="T305" s="9"/>
      <c r="U305" s="9"/>
      <c r="V305" s="9"/>
      <c r="W305" s="9"/>
      <c r="X305" s="9"/>
      <c r="Y305" s="9"/>
    </row>
    <row r="306" ht="15.75" customHeight="1">
      <c r="A306" s="17"/>
      <c r="B306" s="17"/>
      <c r="C306" s="19"/>
      <c r="D306" s="19"/>
      <c r="E306" s="19"/>
      <c r="F306" s="19"/>
      <c r="G306" s="19"/>
      <c r="H306" s="19"/>
      <c r="I306" s="19"/>
      <c r="J306" s="19"/>
      <c r="K306" s="19"/>
      <c r="L306" s="22"/>
      <c r="M306" s="22"/>
      <c r="N306" s="9"/>
      <c r="O306" s="9"/>
      <c r="P306" s="9"/>
      <c r="Q306" s="9"/>
      <c r="R306" s="9"/>
      <c r="S306" s="9"/>
      <c r="T306" s="9"/>
      <c r="U306" s="9"/>
      <c r="V306" s="9"/>
      <c r="W306" s="9"/>
      <c r="X306" s="9"/>
      <c r="Y306" s="9"/>
    </row>
    <row r="307" ht="15.75" customHeight="1">
      <c r="A307" s="17"/>
      <c r="B307" s="17"/>
      <c r="C307" s="19"/>
      <c r="D307" s="19"/>
      <c r="E307" s="19"/>
      <c r="F307" s="19"/>
      <c r="G307" s="19"/>
      <c r="H307" s="19"/>
      <c r="I307" s="19"/>
      <c r="J307" s="19"/>
      <c r="K307" s="19"/>
      <c r="L307" s="22"/>
      <c r="M307" s="22"/>
      <c r="N307" s="9"/>
      <c r="O307" s="9"/>
      <c r="P307" s="9"/>
      <c r="Q307" s="9"/>
      <c r="R307" s="9"/>
      <c r="S307" s="9"/>
      <c r="T307" s="9"/>
      <c r="U307" s="9"/>
      <c r="V307" s="9"/>
      <c r="W307" s="9"/>
      <c r="X307" s="9"/>
      <c r="Y307" s="9"/>
    </row>
    <row r="308" ht="15.75" customHeight="1">
      <c r="A308" s="17"/>
      <c r="B308" s="17"/>
      <c r="C308" s="19"/>
      <c r="D308" s="19"/>
      <c r="E308" s="19"/>
      <c r="F308" s="19"/>
      <c r="G308" s="19"/>
      <c r="H308" s="19"/>
      <c r="I308" s="19"/>
      <c r="J308" s="19"/>
      <c r="K308" s="19"/>
      <c r="L308" s="22"/>
      <c r="M308" s="22"/>
      <c r="N308" s="9"/>
      <c r="O308" s="9"/>
      <c r="P308" s="9"/>
      <c r="Q308" s="9"/>
      <c r="R308" s="9"/>
      <c r="S308" s="9"/>
      <c r="T308" s="9"/>
      <c r="U308" s="9"/>
      <c r="V308" s="9"/>
      <c r="W308" s="9"/>
      <c r="X308" s="9"/>
      <c r="Y308" s="9"/>
    </row>
    <row r="309" ht="15.75" customHeight="1">
      <c r="A309" s="17"/>
      <c r="B309" s="17"/>
      <c r="C309" s="19"/>
      <c r="D309" s="19"/>
      <c r="E309" s="19"/>
      <c r="F309" s="19"/>
      <c r="G309" s="19"/>
      <c r="H309" s="19"/>
      <c r="I309" s="19"/>
      <c r="J309" s="19"/>
      <c r="K309" s="19"/>
      <c r="L309" s="22"/>
      <c r="M309" s="22"/>
      <c r="N309" s="9"/>
      <c r="O309" s="9"/>
      <c r="P309" s="9"/>
      <c r="Q309" s="9"/>
      <c r="R309" s="9"/>
      <c r="S309" s="9"/>
      <c r="T309" s="9"/>
      <c r="U309" s="9"/>
      <c r="V309" s="9"/>
      <c r="W309" s="9"/>
      <c r="X309" s="9"/>
      <c r="Y309" s="9"/>
    </row>
    <row r="310" ht="15.75" customHeight="1">
      <c r="A310" s="17"/>
      <c r="B310" s="17"/>
      <c r="C310" s="19"/>
      <c r="D310" s="19"/>
      <c r="E310" s="19"/>
      <c r="F310" s="19"/>
      <c r="G310" s="19"/>
      <c r="H310" s="19"/>
      <c r="I310" s="19"/>
      <c r="J310" s="19"/>
      <c r="K310" s="19"/>
      <c r="L310" s="22"/>
      <c r="M310" s="22"/>
      <c r="N310" s="9"/>
      <c r="O310" s="9"/>
      <c r="P310" s="9"/>
      <c r="Q310" s="9"/>
      <c r="R310" s="9"/>
      <c r="S310" s="9"/>
      <c r="T310" s="9"/>
      <c r="U310" s="9"/>
      <c r="V310" s="9"/>
      <c r="W310" s="9"/>
      <c r="X310" s="9"/>
      <c r="Y310" s="9"/>
    </row>
    <row r="311" ht="15.75" customHeight="1">
      <c r="A311" s="17"/>
      <c r="B311" s="17"/>
      <c r="C311" s="19"/>
      <c r="D311" s="19"/>
      <c r="E311" s="19"/>
      <c r="F311" s="19"/>
      <c r="G311" s="19"/>
      <c r="H311" s="19"/>
      <c r="I311" s="19"/>
      <c r="J311" s="19"/>
      <c r="K311" s="19"/>
      <c r="L311" s="22"/>
      <c r="M311" s="22"/>
      <c r="N311" s="9"/>
      <c r="O311" s="9"/>
      <c r="P311" s="9"/>
      <c r="Q311" s="9"/>
      <c r="R311" s="9"/>
      <c r="S311" s="9"/>
      <c r="T311" s="9"/>
      <c r="U311" s="9"/>
      <c r="V311" s="9"/>
      <c r="W311" s="9"/>
      <c r="X311" s="9"/>
      <c r="Y311" s="9"/>
    </row>
    <row r="312" ht="15.75" customHeight="1">
      <c r="A312" s="17"/>
      <c r="B312" s="17"/>
      <c r="C312" s="19"/>
      <c r="D312" s="19"/>
      <c r="E312" s="19"/>
      <c r="F312" s="19"/>
      <c r="G312" s="19"/>
      <c r="H312" s="19"/>
      <c r="I312" s="19"/>
      <c r="J312" s="19"/>
      <c r="K312" s="19"/>
      <c r="L312" s="22"/>
      <c r="M312" s="22"/>
      <c r="N312" s="9"/>
      <c r="O312" s="9"/>
      <c r="P312" s="9"/>
      <c r="Q312" s="9"/>
      <c r="R312" s="9"/>
      <c r="S312" s="9"/>
      <c r="T312" s="9"/>
      <c r="U312" s="9"/>
      <c r="V312" s="9"/>
      <c r="W312" s="9"/>
      <c r="X312" s="9"/>
      <c r="Y312" s="9"/>
    </row>
    <row r="313" ht="15.75" customHeight="1">
      <c r="A313" s="17"/>
      <c r="B313" s="17"/>
      <c r="C313" s="19"/>
      <c r="D313" s="19"/>
      <c r="E313" s="19"/>
      <c r="F313" s="19"/>
      <c r="G313" s="19"/>
      <c r="H313" s="19"/>
      <c r="I313" s="19"/>
      <c r="J313" s="19"/>
      <c r="K313" s="19"/>
      <c r="L313" s="22"/>
      <c r="M313" s="22"/>
      <c r="N313" s="9"/>
      <c r="O313" s="9"/>
      <c r="P313" s="9"/>
      <c r="Q313" s="9"/>
      <c r="R313" s="9"/>
      <c r="S313" s="9"/>
      <c r="T313" s="9"/>
      <c r="U313" s="9"/>
      <c r="V313" s="9"/>
      <c r="W313" s="9"/>
      <c r="X313" s="9"/>
      <c r="Y313" s="9"/>
    </row>
    <row r="314" ht="15.75" customHeight="1">
      <c r="A314" s="17"/>
      <c r="B314" s="17"/>
      <c r="C314" s="19"/>
      <c r="D314" s="19"/>
      <c r="E314" s="19"/>
      <c r="F314" s="19"/>
      <c r="G314" s="19"/>
      <c r="H314" s="19"/>
      <c r="I314" s="19"/>
      <c r="J314" s="19"/>
      <c r="K314" s="19"/>
      <c r="L314" s="22"/>
      <c r="M314" s="22"/>
      <c r="N314" s="9"/>
      <c r="O314" s="9"/>
      <c r="P314" s="9"/>
      <c r="Q314" s="9"/>
      <c r="R314" s="9"/>
      <c r="S314" s="9"/>
      <c r="T314" s="9"/>
      <c r="U314" s="9"/>
      <c r="V314" s="9"/>
      <c r="W314" s="9"/>
      <c r="X314" s="9"/>
      <c r="Y314" s="9"/>
    </row>
    <row r="315" ht="15.75" customHeight="1">
      <c r="A315" s="17"/>
      <c r="B315" s="17"/>
      <c r="C315" s="19"/>
      <c r="D315" s="19"/>
      <c r="E315" s="19"/>
      <c r="F315" s="19"/>
      <c r="G315" s="19"/>
      <c r="H315" s="19"/>
      <c r="I315" s="19"/>
      <c r="J315" s="19"/>
      <c r="K315" s="19"/>
      <c r="L315" s="22"/>
      <c r="M315" s="22"/>
      <c r="N315" s="9"/>
      <c r="O315" s="9"/>
      <c r="P315" s="9"/>
      <c r="Q315" s="9"/>
      <c r="R315" s="9"/>
      <c r="S315" s="9"/>
      <c r="T315" s="9"/>
      <c r="U315" s="9"/>
      <c r="V315" s="9"/>
      <c r="W315" s="9"/>
      <c r="X315" s="9"/>
      <c r="Y315" s="9"/>
    </row>
    <row r="316" ht="15.75" customHeight="1">
      <c r="A316" s="17"/>
      <c r="B316" s="17"/>
      <c r="C316" s="19"/>
      <c r="D316" s="19"/>
      <c r="E316" s="19"/>
      <c r="F316" s="19"/>
      <c r="G316" s="19"/>
      <c r="H316" s="19"/>
      <c r="I316" s="19"/>
      <c r="J316" s="19"/>
      <c r="K316" s="19"/>
      <c r="L316" s="22"/>
      <c r="M316" s="22"/>
      <c r="N316" s="9"/>
      <c r="O316" s="9"/>
      <c r="P316" s="9"/>
      <c r="Q316" s="9"/>
      <c r="R316" s="9"/>
      <c r="S316" s="9"/>
      <c r="T316" s="9"/>
      <c r="U316" s="9"/>
      <c r="V316" s="9"/>
      <c r="W316" s="9"/>
      <c r="X316" s="9"/>
      <c r="Y316" s="9"/>
    </row>
    <row r="317" ht="15.75" customHeight="1">
      <c r="A317" s="17"/>
      <c r="B317" s="17"/>
      <c r="C317" s="19"/>
      <c r="D317" s="19"/>
      <c r="E317" s="19"/>
      <c r="F317" s="19"/>
      <c r="G317" s="19"/>
      <c r="H317" s="19"/>
      <c r="I317" s="19"/>
      <c r="J317" s="19"/>
      <c r="K317" s="19"/>
      <c r="L317" s="22"/>
      <c r="M317" s="22"/>
      <c r="N317" s="9"/>
      <c r="O317" s="9"/>
      <c r="P317" s="9"/>
      <c r="Q317" s="9"/>
      <c r="R317" s="9"/>
      <c r="S317" s="9"/>
      <c r="T317" s="9"/>
      <c r="U317" s="9"/>
      <c r="V317" s="9"/>
      <c r="W317" s="9"/>
      <c r="X317" s="9"/>
      <c r="Y317" s="9"/>
    </row>
    <row r="318" ht="15.75" customHeight="1">
      <c r="A318" s="17"/>
      <c r="B318" s="17"/>
      <c r="C318" s="19"/>
      <c r="D318" s="19"/>
      <c r="E318" s="19"/>
      <c r="F318" s="19"/>
      <c r="G318" s="19"/>
      <c r="H318" s="19"/>
      <c r="I318" s="19"/>
      <c r="J318" s="19"/>
      <c r="K318" s="19"/>
      <c r="L318" s="22"/>
      <c r="M318" s="22"/>
      <c r="N318" s="9"/>
      <c r="O318" s="9"/>
      <c r="P318" s="9"/>
      <c r="Q318" s="9"/>
      <c r="R318" s="9"/>
      <c r="S318" s="9"/>
      <c r="T318" s="9"/>
      <c r="U318" s="9"/>
      <c r="V318" s="9"/>
      <c r="W318" s="9"/>
      <c r="X318" s="9"/>
      <c r="Y318" s="9"/>
    </row>
    <row r="319" ht="15.75" customHeight="1">
      <c r="A319" s="17"/>
      <c r="B319" s="17"/>
      <c r="C319" s="19"/>
      <c r="D319" s="19"/>
      <c r="E319" s="19"/>
      <c r="F319" s="19"/>
      <c r="G319" s="19"/>
      <c r="H319" s="19"/>
      <c r="I319" s="19"/>
      <c r="J319" s="19"/>
      <c r="K319" s="19"/>
      <c r="L319" s="22"/>
      <c r="M319" s="22"/>
      <c r="N319" s="9"/>
      <c r="O319" s="9"/>
      <c r="P319" s="9"/>
      <c r="Q319" s="9"/>
      <c r="R319" s="9"/>
      <c r="S319" s="9"/>
      <c r="T319" s="9"/>
      <c r="U319" s="9"/>
      <c r="V319" s="9"/>
      <c r="W319" s="9"/>
      <c r="X319" s="9"/>
      <c r="Y319" s="9"/>
    </row>
    <row r="320" ht="15.75" customHeight="1">
      <c r="A320" s="17"/>
      <c r="B320" s="17"/>
      <c r="C320" s="19"/>
      <c r="D320" s="19"/>
      <c r="E320" s="19"/>
      <c r="F320" s="19"/>
      <c r="G320" s="19"/>
      <c r="H320" s="19"/>
      <c r="I320" s="19"/>
      <c r="J320" s="19"/>
      <c r="K320" s="19"/>
      <c r="L320" s="22"/>
      <c r="M320" s="22"/>
      <c r="N320" s="9"/>
      <c r="O320" s="9"/>
      <c r="P320" s="9"/>
      <c r="Q320" s="9"/>
      <c r="R320" s="9"/>
      <c r="S320" s="9"/>
      <c r="T320" s="9"/>
      <c r="U320" s="9"/>
      <c r="V320" s="9"/>
      <c r="W320" s="9"/>
      <c r="X320" s="9"/>
      <c r="Y320" s="9"/>
    </row>
    <row r="321" ht="15.75" customHeight="1">
      <c r="A321" s="17"/>
      <c r="B321" s="17"/>
      <c r="C321" s="19"/>
      <c r="D321" s="19"/>
      <c r="E321" s="19"/>
      <c r="F321" s="19"/>
      <c r="G321" s="19"/>
      <c r="H321" s="19"/>
      <c r="I321" s="19"/>
      <c r="J321" s="19"/>
      <c r="K321" s="19"/>
      <c r="L321" s="22"/>
      <c r="M321" s="22"/>
      <c r="N321" s="9"/>
      <c r="O321" s="9"/>
      <c r="P321" s="9"/>
      <c r="Q321" s="9"/>
      <c r="R321" s="9"/>
      <c r="S321" s="9"/>
      <c r="T321" s="9"/>
      <c r="U321" s="9"/>
      <c r="V321" s="9"/>
      <c r="W321" s="9"/>
      <c r="X321" s="9"/>
      <c r="Y321" s="9"/>
    </row>
    <row r="322" ht="15.75" customHeight="1">
      <c r="A322" s="17"/>
      <c r="B322" s="17"/>
      <c r="C322" s="19"/>
      <c r="D322" s="19"/>
      <c r="E322" s="19"/>
      <c r="F322" s="19"/>
      <c r="G322" s="19"/>
      <c r="H322" s="19"/>
      <c r="I322" s="19"/>
      <c r="J322" s="19"/>
      <c r="K322" s="19"/>
      <c r="L322" s="22"/>
      <c r="M322" s="22"/>
      <c r="N322" s="9"/>
      <c r="O322" s="9"/>
      <c r="P322" s="9"/>
      <c r="Q322" s="9"/>
      <c r="R322" s="9"/>
      <c r="S322" s="9"/>
      <c r="T322" s="9"/>
      <c r="U322" s="9"/>
      <c r="V322" s="9"/>
      <c r="W322" s="9"/>
      <c r="X322" s="9"/>
      <c r="Y322" s="9"/>
    </row>
    <row r="323" ht="15.75" customHeight="1">
      <c r="A323" s="17"/>
      <c r="B323" s="17"/>
      <c r="C323" s="19"/>
      <c r="D323" s="19"/>
      <c r="E323" s="19"/>
      <c r="F323" s="19"/>
      <c r="G323" s="19"/>
      <c r="H323" s="19"/>
      <c r="I323" s="19"/>
      <c r="J323" s="19"/>
      <c r="K323" s="19"/>
      <c r="L323" s="22"/>
      <c r="M323" s="22"/>
      <c r="N323" s="9"/>
      <c r="O323" s="9"/>
      <c r="P323" s="9"/>
      <c r="Q323" s="9"/>
      <c r="R323" s="9"/>
      <c r="S323" s="9"/>
      <c r="T323" s="9"/>
      <c r="U323" s="9"/>
      <c r="V323" s="9"/>
      <c r="W323" s="9"/>
      <c r="X323" s="9"/>
      <c r="Y323" s="9"/>
    </row>
    <row r="324" ht="15.75" customHeight="1">
      <c r="A324" s="17"/>
      <c r="B324" s="17"/>
      <c r="C324" s="19"/>
      <c r="D324" s="19"/>
      <c r="E324" s="19"/>
      <c r="F324" s="19"/>
      <c r="G324" s="19"/>
      <c r="H324" s="19"/>
      <c r="I324" s="19"/>
      <c r="J324" s="19"/>
      <c r="K324" s="19"/>
      <c r="L324" s="22"/>
      <c r="M324" s="22"/>
      <c r="N324" s="9"/>
      <c r="O324" s="9"/>
      <c r="P324" s="9"/>
      <c r="Q324" s="9"/>
      <c r="R324" s="9"/>
      <c r="S324" s="9"/>
      <c r="T324" s="9"/>
      <c r="U324" s="9"/>
      <c r="V324" s="9"/>
      <c r="W324" s="9"/>
      <c r="X324" s="9"/>
      <c r="Y324" s="9"/>
    </row>
    <row r="325" ht="15.75" customHeight="1">
      <c r="A325" s="17"/>
      <c r="B325" s="17"/>
      <c r="C325" s="19"/>
      <c r="D325" s="19"/>
      <c r="E325" s="19"/>
      <c r="F325" s="19"/>
      <c r="G325" s="19"/>
      <c r="H325" s="19"/>
      <c r="I325" s="19"/>
      <c r="J325" s="19"/>
      <c r="K325" s="19"/>
      <c r="L325" s="22"/>
      <c r="M325" s="22"/>
      <c r="N325" s="9"/>
      <c r="O325" s="9"/>
      <c r="P325" s="9"/>
      <c r="Q325" s="9"/>
      <c r="R325" s="9"/>
      <c r="S325" s="9"/>
      <c r="T325" s="9"/>
      <c r="U325" s="9"/>
      <c r="V325" s="9"/>
      <c r="W325" s="9"/>
      <c r="X325" s="9"/>
      <c r="Y325" s="9"/>
    </row>
    <row r="326" ht="15.75" customHeight="1">
      <c r="A326" s="17"/>
      <c r="B326" s="17"/>
      <c r="C326" s="19"/>
      <c r="D326" s="19"/>
      <c r="E326" s="19"/>
      <c r="F326" s="19"/>
      <c r="G326" s="19"/>
      <c r="H326" s="19"/>
      <c r="I326" s="19"/>
      <c r="J326" s="19"/>
      <c r="K326" s="19"/>
      <c r="L326" s="22"/>
      <c r="M326" s="22"/>
      <c r="N326" s="9"/>
      <c r="O326" s="9"/>
      <c r="P326" s="9"/>
      <c r="Q326" s="9"/>
      <c r="R326" s="9"/>
      <c r="S326" s="9"/>
      <c r="T326" s="9"/>
      <c r="U326" s="9"/>
      <c r="V326" s="9"/>
      <c r="W326" s="9"/>
      <c r="X326" s="9"/>
      <c r="Y326" s="9"/>
    </row>
    <row r="327" ht="15.75" customHeight="1">
      <c r="A327" s="17"/>
      <c r="B327" s="17"/>
      <c r="C327" s="19"/>
      <c r="D327" s="19"/>
      <c r="E327" s="19"/>
      <c r="F327" s="19"/>
      <c r="G327" s="19"/>
      <c r="H327" s="19"/>
      <c r="I327" s="19"/>
      <c r="J327" s="19"/>
      <c r="K327" s="19"/>
      <c r="L327" s="22"/>
      <c r="M327" s="22"/>
      <c r="N327" s="9"/>
      <c r="O327" s="9"/>
      <c r="P327" s="9"/>
      <c r="Q327" s="9"/>
      <c r="R327" s="9"/>
      <c r="S327" s="9"/>
      <c r="T327" s="9"/>
      <c r="U327" s="9"/>
      <c r="V327" s="9"/>
      <c r="W327" s="9"/>
      <c r="X327" s="9"/>
      <c r="Y327" s="9"/>
    </row>
    <row r="328" ht="15.75" customHeight="1">
      <c r="A328" s="17"/>
      <c r="B328" s="17"/>
      <c r="C328" s="19"/>
      <c r="D328" s="19"/>
      <c r="E328" s="19"/>
      <c r="F328" s="19"/>
      <c r="G328" s="19"/>
      <c r="H328" s="19"/>
      <c r="I328" s="19"/>
      <c r="J328" s="19"/>
      <c r="K328" s="19"/>
      <c r="L328" s="22"/>
      <c r="M328" s="22"/>
      <c r="N328" s="9"/>
      <c r="O328" s="9"/>
      <c r="P328" s="9"/>
      <c r="Q328" s="9"/>
      <c r="R328" s="9"/>
      <c r="S328" s="9"/>
      <c r="T328" s="9"/>
      <c r="U328" s="9"/>
      <c r="V328" s="9"/>
      <c r="W328" s="9"/>
      <c r="X328" s="9"/>
      <c r="Y328" s="9"/>
    </row>
    <row r="329" ht="15.75" customHeight="1">
      <c r="A329" s="17"/>
      <c r="B329" s="17"/>
      <c r="C329" s="19"/>
      <c r="D329" s="19"/>
      <c r="E329" s="19"/>
      <c r="F329" s="19"/>
      <c r="G329" s="19"/>
      <c r="H329" s="19"/>
      <c r="I329" s="19"/>
      <c r="J329" s="19"/>
      <c r="K329" s="19"/>
      <c r="L329" s="22"/>
      <c r="M329" s="22"/>
      <c r="N329" s="9"/>
      <c r="O329" s="9"/>
      <c r="P329" s="9"/>
      <c r="Q329" s="9"/>
      <c r="R329" s="9"/>
      <c r="S329" s="9"/>
      <c r="T329" s="9"/>
      <c r="U329" s="9"/>
      <c r="V329" s="9"/>
      <c r="W329" s="9"/>
      <c r="X329" s="9"/>
      <c r="Y329" s="9"/>
    </row>
    <row r="330" ht="15.75" customHeight="1">
      <c r="A330" s="17"/>
      <c r="B330" s="17"/>
      <c r="C330" s="19"/>
      <c r="D330" s="19"/>
      <c r="E330" s="19"/>
      <c r="F330" s="19"/>
      <c r="G330" s="19"/>
      <c r="H330" s="19"/>
      <c r="I330" s="19"/>
      <c r="J330" s="19"/>
      <c r="K330" s="19"/>
      <c r="L330" s="22"/>
      <c r="M330" s="22"/>
      <c r="N330" s="9"/>
      <c r="O330" s="9"/>
      <c r="P330" s="9"/>
      <c r="Q330" s="9"/>
      <c r="R330" s="9"/>
      <c r="S330" s="9"/>
      <c r="T330" s="9"/>
      <c r="U330" s="9"/>
      <c r="V330" s="9"/>
      <c r="W330" s="9"/>
      <c r="X330" s="9"/>
      <c r="Y330" s="9"/>
    </row>
    <row r="331" ht="15.75" customHeight="1">
      <c r="A331" s="17"/>
      <c r="B331" s="17"/>
      <c r="C331" s="19"/>
      <c r="D331" s="19"/>
      <c r="E331" s="19"/>
      <c r="F331" s="19"/>
      <c r="G331" s="19"/>
      <c r="H331" s="19"/>
      <c r="I331" s="19"/>
      <c r="J331" s="19"/>
      <c r="K331" s="19"/>
      <c r="L331" s="22"/>
      <c r="M331" s="22"/>
      <c r="N331" s="9"/>
      <c r="O331" s="9"/>
      <c r="P331" s="9"/>
      <c r="Q331" s="9"/>
      <c r="R331" s="9"/>
      <c r="S331" s="9"/>
      <c r="T331" s="9"/>
      <c r="U331" s="9"/>
      <c r="V331" s="9"/>
      <c r="W331" s="9"/>
      <c r="X331" s="9"/>
      <c r="Y331" s="9"/>
    </row>
    <row r="332" ht="15.75" customHeight="1">
      <c r="A332" s="17"/>
      <c r="B332" s="17"/>
      <c r="C332" s="19"/>
      <c r="D332" s="19"/>
      <c r="E332" s="19"/>
      <c r="F332" s="19"/>
      <c r="G332" s="19"/>
      <c r="H332" s="19"/>
      <c r="I332" s="19"/>
      <c r="J332" s="19"/>
      <c r="K332" s="19"/>
      <c r="L332" s="22"/>
      <c r="M332" s="22"/>
      <c r="N332" s="9"/>
      <c r="O332" s="9"/>
      <c r="P332" s="9"/>
      <c r="Q332" s="9"/>
      <c r="R332" s="9"/>
      <c r="S332" s="9"/>
      <c r="T332" s="9"/>
      <c r="U332" s="9"/>
      <c r="V332" s="9"/>
      <c r="W332" s="9"/>
      <c r="X332" s="9"/>
      <c r="Y332" s="9"/>
    </row>
    <row r="333" ht="15.75" customHeight="1">
      <c r="A333" s="17"/>
      <c r="B333" s="17"/>
      <c r="C333" s="19"/>
      <c r="D333" s="19"/>
      <c r="E333" s="19"/>
      <c r="F333" s="19"/>
      <c r="G333" s="19"/>
      <c r="H333" s="19"/>
      <c r="I333" s="19"/>
      <c r="J333" s="19"/>
      <c r="K333" s="19"/>
      <c r="L333" s="22"/>
      <c r="M333" s="22"/>
      <c r="N333" s="9"/>
      <c r="O333" s="9"/>
      <c r="P333" s="9"/>
      <c r="Q333" s="9"/>
      <c r="R333" s="9"/>
      <c r="S333" s="9"/>
      <c r="T333" s="9"/>
      <c r="U333" s="9"/>
      <c r="V333" s="9"/>
      <c r="W333" s="9"/>
      <c r="X333" s="9"/>
      <c r="Y333" s="9"/>
    </row>
    <row r="334" ht="15.75" customHeight="1">
      <c r="A334" s="17"/>
      <c r="B334" s="17"/>
      <c r="C334" s="19"/>
      <c r="D334" s="19"/>
      <c r="E334" s="19"/>
      <c r="F334" s="19"/>
      <c r="G334" s="19"/>
      <c r="H334" s="19"/>
      <c r="I334" s="19"/>
      <c r="J334" s="19"/>
      <c r="K334" s="19"/>
      <c r="L334" s="22"/>
      <c r="M334" s="22"/>
      <c r="N334" s="9"/>
      <c r="O334" s="9"/>
      <c r="P334" s="9"/>
      <c r="Q334" s="9"/>
      <c r="R334" s="9"/>
      <c r="S334" s="9"/>
      <c r="T334" s="9"/>
      <c r="U334" s="9"/>
      <c r="V334" s="9"/>
      <c r="W334" s="9"/>
      <c r="X334" s="9"/>
      <c r="Y334" s="9"/>
    </row>
    <row r="335" ht="15.75" customHeight="1">
      <c r="A335" s="17"/>
      <c r="B335" s="17"/>
      <c r="C335" s="19"/>
      <c r="D335" s="19"/>
      <c r="E335" s="19"/>
      <c r="F335" s="19"/>
      <c r="G335" s="19"/>
      <c r="H335" s="19"/>
      <c r="I335" s="19"/>
      <c r="J335" s="19"/>
      <c r="K335" s="19"/>
      <c r="L335" s="22"/>
      <c r="M335" s="22"/>
      <c r="N335" s="9"/>
      <c r="O335" s="9"/>
      <c r="P335" s="9"/>
      <c r="Q335" s="9"/>
      <c r="R335" s="9"/>
      <c r="S335" s="9"/>
      <c r="T335" s="9"/>
      <c r="U335" s="9"/>
      <c r="V335" s="9"/>
      <c r="W335" s="9"/>
      <c r="X335" s="9"/>
      <c r="Y335" s="9"/>
    </row>
    <row r="336" ht="15.75" customHeight="1">
      <c r="A336" s="17"/>
      <c r="B336" s="17"/>
      <c r="C336" s="19"/>
      <c r="D336" s="19"/>
      <c r="E336" s="19"/>
      <c r="F336" s="19"/>
      <c r="G336" s="19"/>
      <c r="H336" s="19"/>
      <c r="I336" s="19"/>
      <c r="J336" s="19"/>
      <c r="K336" s="19"/>
      <c r="L336" s="22"/>
      <c r="M336" s="22"/>
      <c r="N336" s="9"/>
      <c r="O336" s="9"/>
      <c r="P336" s="9"/>
      <c r="Q336" s="9"/>
      <c r="R336" s="9"/>
      <c r="S336" s="9"/>
      <c r="T336" s="9"/>
      <c r="U336" s="9"/>
      <c r="V336" s="9"/>
      <c r="W336" s="9"/>
      <c r="X336" s="9"/>
      <c r="Y336" s="9"/>
    </row>
    <row r="337" ht="15.75" customHeight="1">
      <c r="A337" s="17"/>
      <c r="B337" s="17"/>
      <c r="C337" s="19"/>
      <c r="D337" s="19"/>
      <c r="E337" s="19"/>
      <c r="F337" s="19"/>
      <c r="G337" s="19"/>
      <c r="H337" s="19"/>
      <c r="I337" s="19"/>
      <c r="J337" s="19"/>
      <c r="K337" s="19"/>
      <c r="L337" s="22"/>
      <c r="M337" s="22"/>
      <c r="N337" s="9"/>
      <c r="O337" s="9"/>
      <c r="P337" s="9"/>
      <c r="Q337" s="9"/>
      <c r="R337" s="9"/>
      <c r="S337" s="9"/>
      <c r="T337" s="9"/>
      <c r="U337" s="9"/>
      <c r="V337" s="9"/>
      <c r="W337" s="9"/>
      <c r="X337" s="9"/>
      <c r="Y337" s="9"/>
    </row>
    <row r="338" ht="15.75" customHeight="1">
      <c r="A338" s="17"/>
      <c r="B338" s="17"/>
      <c r="C338" s="19"/>
      <c r="D338" s="19"/>
      <c r="E338" s="19"/>
      <c r="F338" s="19"/>
      <c r="G338" s="19"/>
      <c r="H338" s="19"/>
      <c r="I338" s="19"/>
      <c r="J338" s="19"/>
      <c r="K338" s="19"/>
      <c r="L338" s="22"/>
      <c r="M338" s="22"/>
      <c r="N338" s="9"/>
      <c r="O338" s="9"/>
      <c r="P338" s="9"/>
      <c r="Q338" s="9"/>
      <c r="R338" s="9"/>
      <c r="S338" s="9"/>
      <c r="T338" s="9"/>
      <c r="U338" s="9"/>
      <c r="V338" s="9"/>
      <c r="W338" s="9"/>
      <c r="X338" s="9"/>
      <c r="Y338" s="9"/>
    </row>
    <row r="339" ht="15.75" customHeight="1">
      <c r="A339" s="17"/>
      <c r="B339" s="17"/>
      <c r="C339" s="19"/>
      <c r="D339" s="19"/>
      <c r="E339" s="19"/>
      <c r="F339" s="19"/>
      <c r="G339" s="19"/>
      <c r="H339" s="19"/>
      <c r="I339" s="19"/>
      <c r="J339" s="19"/>
      <c r="K339" s="19"/>
      <c r="L339" s="22"/>
      <c r="M339" s="22"/>
      <c r="N339" s="9"/>
      <c r="O339" s="9"/>
      <c r="P339" s="9"/>
      <c r="Q339" s="9"/>
      <c r="R339" s="9"/>
      <c r="S339" s="9"/>
      <c r="T339" s="9"/>
      <c r="U339" s="9"/>
      <c r="V339" s="9"/>
      <c r="W339" s="9"/>
      <c r="X339" s="9"/>
      <c r="Y339" s="9"/>
    </row>
    <row r="340" ht="15.75" customHeight="1">
      <c r="A340" s="17"/>
      <c r="B340" s="17"/>
      <c r="C340" s="19"/>
      <c r="D340" s="19"/>
      <c r="E340" s="19"/>
      <c r="F340" s="19"/>
      <c r="G340" s="19"/>
      <c r="H340" s="19"/>
      <c r="I340" s="19"/>
      <c r="J340" s="19"/>
      <c r="K340" s="19"/>
      <c r="L340" s="22"/>
      <c r="M340" s="22"/>
      <c r="N340" s="9"/>
      <c r="O340" s="9"/>
      <c r="P340" s="9"/>
      <c r="Q340" s="9"/>
      <c r="R340" s="9"/>
      <c r="S340" s="9"/>
      <c r="T340" s="9"/>
      <c r="U340" s="9"/>
      <c r="V340" s="9"/>
      <c r="W340" s="9"/>
      <c r="X340" s="9"/>
      <c r="Y340" s="9"/>
    </row>
    <row r="341" ht="15.75" customHeight="1">
      <c r="A341" s="17"/>
      <c r="B341" s="17"/>
      <c r="C341" s="19"/>
      <c r="D341" s="19"/>
      <c r="E341" s="19"/>
      <c r="F341" s="19"/>
      <c r="G341" s="19"/>
      <c r="H341" s="19"/>
      <c r="I341" s="19"/>
      <c r="J341" s="19"/>
      <c r="K341" s="19"/>
      <c r="L341" s="22"/>
      <c r="M341" s="22"/>
      <c r="N341" s="9"/>
      <c r="O341" s="9"/>
      <c r="P341" s="9"/>
      <c r="Q341" s="9"/>
      <c r="R341" s="9"/>
      <c r="S341" s="9"/>
      <c r="T341" s="9"/>
      <c r="U341" s="9"/>
      <c r="V341" s="9"/>
      <c r="W341" s="9"/>
      <c r="X341" s="9"/>
      <c r="Y341" s="9"/>
    </row>
    <row r="342" ht="15.75" customHeight="1">
      <c r="A342" s="17"/>
      <c r="B342" s="17"/>
      <c r="C342" s="19"/>
      <c r="D342" s="19"/>
      <c r="E342" s="19"/>
      <c r="F342" s="19"/>
      <c r="G342" s="19"/>
      <c r="H342" s="19"/>
      <c r="I342" s="19"/>
      <c r="J342" s="19"/>
      <c r="K342" s="19"/>
      <c r="L342" s="22"/>
      <c r="M342" s="22"/>
      <c r="N342" s="9"/>
      <c r="O342" s="9"/>
      <c r="P342" s="9"/>
      <c r="Q342" s="9"/>
      <c r="R342" s="9"/>
      <c r="S342" s="9"/>
      <c r="T342" s="9"/>
      <c r="U342" s="9"/>
      <c r="V342" s="9"/>
      <c r="W342" s="9"/>
      <c r="X342" s="9"/>
      <c r="Y342" s="9"/>
    </row>
    <row r="343" ht="15.75" customHeight="1">
      <c r="A343" s="17"/>
      <c r="B343" s="17"/>
      <c r="C343" s="19"/>
      <c r="D343" s="19"/>
      <c r="E343" s="19"/>
      <c r="F343" s="19"/>
      <c r="G343" s="19"/>
      <c r="H343" s="19"/>
      <c r="I343" s="19"/>
      <c r="J343" s="19"/>
      <c r="K343" s="19"/>
      <c r="L343" s="22"/>
      <c r="M343" s="22"/>
      <c r="N343" s="9"/>
      <c r="O343" s="9"/>
      <c r="P343" s="9"/>
      <c r="Q343" s="9"/>
      <c r="R343" s="9"/>
      <c r="S343" s="9"/>
      <c r="T343" s="9"/>
      <c r="U343" s="9"/>
      <c r="V343" s="9"/>
      <c r="W343" s="9"/>
      <c r="X343" s="9"/>
      <c r="Y343" s="9"/>
    </row>
    <row r="344" ht="15.75" customHeight="1">
      <c r="A344" s="17"/>
      <c r="B344" s="17"/>
      <c r="C344" s="19"/>
      <c r="D344" s="19"/>
      <c r="E344" s="19"/>
      <c r="F344" s="19"/>
      <c r="G344" s="19"/>
      <c r="H344" s="19"/>
      <c r="I344" s="19"/>
      <c r="J344" s="19"/>
      <c r="K344" s="19"/>
      <c r="L344" s="22"/>
      <c r="M344" s="22"/>
      <c r="N344" s="9"/>
      <c r="O344" s="9"/>
      <c r="P344" s="9"/>
      <c r="Q344" s="9"/>
      <c r="R344" s="9"/>
      <c r="S344" s="9"/>
      <c r="T344" s="9"/>
      <c r="U344" s="9"/>
      <c r="V344" s="9"/>
      <c r="W344" s="9"/>
      <c r="X344" s="9"/>
      <c r="Y344" s="9"/>
    </row>
    <row r="345" ht="15.75" customHeight="1">
      <c r="A345" s="17"/>
      <c r="B345" s="17"/>
      <c r="C345" s="19"/>
      <c r="D345" s="19"/>
      <c r="E345" s="19"/>
      <c r="F345" s="19"/>
      <c r="G345" s="19"/>
      <c r="H345" s="19"/>
      <c r="I345" s="19"/>
      <c r="J345" s="19"/>
      <c r="K345" s="19"/>
      <c r="L345" s="22"/>
      <c r="M345" s="22"/>
      <c r="N345" s="9"/>
      <c r="O345" s="9"/>
      <c r="P345" s="9"/>
      <c r="Q345" s="9"/>
      <c r="R345" s="9"/>
      <c r="S345" s="9"/>
      <c r="T345" s="9"/>
      <c r="U345" s="9"/>
      <c r="V345" s="9"/>
      <c r="W345" s="9"/>
      <c r="X345" s="9"/>
      <c r="Y345" s="9"/>
    </row>
    <row r="346" ht="15.75" customHeight="1">
      <c r="A346" s="17"/>
      <c r="B346" s="17"/>
      <c r="C346" s="19"/>
      <c r="D346" s="19"/>
      <c r="E346" s="19"/>
      <c r="F346" s="19"/>
      <c r="G346" s="19"/>
      <c r="H346" s="19"/>
      <c r="I346" s="19"/>
      <c r="J346" s="19"/>
      <c r="K346" s="19"/>
      <c r="L346" s="22"/>
      <c r="M346" s="22"/>
      <c r="N346" s="9"/>
      <c r="O346" s="9"/>
      <c r="P346" s="9"/>
      <c r="Q346" s="9"/>
      <c r="R346" s="9"/>
      <c r="S346" s="9"/>
      <c r="T346" s="9"/>
      <c r="U346" s="9"/>
      <c r="V346" s="9"/>
      <c r="W346" s="9"/>
      <c r="X346" s="9"/>
      <c r="Y346" s="9"/>
    </row>
    <row r="347" ht="15.75" customHeight="1">
      <c r="A347" s="17"/>
      <c r="B347" s="17"/>
      <c r="C347" s="19"/>
      <c r="D347" s="19"/>
      <c r="E347" s="19"/>
      <c r="F347" s="19"/>
      <c r="G347" s="19"/>
      <c r="H347" s="19"/>
      <c r="I347" s="19"/>
      <c r="J347" s="19"/>
      <c r="K347" s="19"/>
      <c r="L347" s="22"/>
      <c r="M347" s="22"/>
      <c r="N347" s="9"/>
      <c r="O347" s="9"/>
      <c r="P347" s="9"/>
      <c r="Q347" s="9"/>
      <c r="R347" s="9"/>
      <c r="S347" s="9"/>
      <c r="T347" s="9"/>
      <c r="U347" s="9"/>
      <c r="V347" s="9"/>
      <c r="W347" s="9"/>
      <c r="X347" s="9"/>
      <c r="Y347" s="9"/>
    </row>
    <row r="348" ht="15.75" customHeight="1">
      <c r="A348" s="17"/>
      <c r="B348" s="17"/>
      <c r="C348" s="19"/>
      <c r="D348" s="19"/>
      <c r="E348" s="19"/>
      <c r="F348" s="19"/>
      <c r="G348" s="19"/>
      <c r="H348" s="19"/>
      <c r="I348" s="19"/>
      <c r="J348" s="19"/>
      <c r="K348" s="19"/>
      <c r="L348" s="22"/>
      <c r="M348" s="22"/>
      <c r="N348" s="9"/>
      <c r="O348" s="9"/>
      <c r="P348" s="9"/>
      <c r="Q348" s="9"/>
      <c r="R348" s="9"/>
      <c r="S348" s="9"/>
      <c r="T348" s="9"/>
      <c r="U348" s="9"/>
      <c r="V348" s="9"/>
      <c r="W348" s="9"/>
      <c r="X348" s="9"/>
      <c r="Y348" s="9"/>
    </row>
    <row r="349" ht="15.75" customHeight="1">
      <c r="A349" s="17"/>
      <c r="B349" s="17"/>
      <c r="C349" s="19"/>
      <c r="D349" s="19"/>
      <c r="E349" s="19"/>
      <c r="F349" s="19"/>
      <c r="G349" s="19"/>
      <c r="H349" s="19"/>
      <c r="I349" s="19"/>
      <c r="J349" s="19"/>
      <c r="K349" s="19"/>
      <c r="L349" s="22"/>
      <c r="M349" s="22"/>
      <c r="N349" s="9"/>
      <c r="O349" s="9"/>
      <c r="P349" s="9"/>
      <c r="Q349" s="9"/>
      <c r="R349" s="9"/>
      <c r="S349" s="9"/>
      <c r="T349" s="9"/>
      <c r="U349" s="9"/>
      <c r="V349" s="9"/>
      <c r="W349" s="9"/>
      <c r="X349" s="9"/>
      <c r="Y349" s="9"/>
    </row>
    <row r="350" ht="15.75" customHeight="1">
      <c r="A350" s="17"/>
      <c r="B350" s="17"/>
      <c r="C350" s="19"/>
      <c r="D350" s="19"/>
      <c r="E350" s="19"/>
      <c r="F350" s="19"/>
      <c r="G350" s="19"/>
      <c r="H350" s="19"/>
      <c r="I350" s="19"/>
      <c r="J350" s="19"/>
      <c r="K350" s="19"/>
      <c r="L350" s="22"/>
      <c r="M350" s="22"/>
      <c r="N350" s="9"/>
      <c r="O350" s="9"/>
      <c r="P350" s="9"/>
      <c r="Q350" s="9"/>
      <c r="R350" s="9"/>
      <c r="S350" s="9"/>
      <c r="T350" s="9"/>
      <c r="U350" s="9"/>
      <c r="V350" s="9"/>
      <c r="W350" s="9"/>
      <c r="X350" s="9"/>
      <c r="Y350" s="9"/>
    </row>
    <row r="351" ht="15.75" customHeight="1">
      <c r="A351" s="17"/>
      <c r="B351" s="17"/>
      <c r="C351" s="19"/>
      <c r="D351" s="19"/>
      <c r="E351" s="19"/>
      <c r="F351" s="19"/>
      <c r="G351" s="19"/>
      <c r="H351" s="19"/>
      <c r="I351" s="19"/>
      <c r="J351" s="19"/>
      <c r="K351" s="19"/>
      <c r="L351" s="22"/>
      <c r="M351" s="22"/>
      <c r="N351" s="9"/>
      <c r="O351" s="9"/>
      <c r="P351" s="9"/>
      <c r="Q351" s="9"/>
      <c r="R351" s="9"/>
      <c r="S351" s="9"/>
      <c r="T351" s="9"/>
      <c r="U351" s="9"/>
      <c r="V351" s="9"/>
      <c r="W351" s="9"/>
      <c r="X351" s="9"/>
      <c r="Y351" s="9"/>
    </row>
    <row r="352" ht="15.75" customHeight="1">
      <c r="A352" s="17"/>
      <c r="B352" s="17"/>
      <c r="C352" s="19"/>
      <c r="D352" s="19"/>
      <c r="E352" s="19"/>
      <c r="F352" s="19"/>
      <c r="G352" s="19"/>
      <c r="H352" s="19"/>
      <c r="I352" s="19"/>
      <c r="J352" s="19"/>
      <c r="K352" s="19"/>
      <c r="L352" s="22"/>
      <c r="M352" s="22"/>
      <c r="N352" s="9"/>
      <c r="O352" s="9"/>
      <c r="P352" s="9"/>
      <c r="Q352" s="9"/>
      <c r="R352" s="9"/>
      <c r="S352" s="9"/>
      <c r="T352" s="9"/>
      <c r="U352" s="9"/>
      <c r="V352" s="9"/>
      <c r="W352" s="9"/>
      <c r="X352" s="9"/>
      <c r="Y352" s="9"/>
    </row>
    <row r="353" ht="15.75" customHeight="1">
      <c r="A353" s="17"/>
      <c r="B353" s="17"/>
      <c r="C353" s="19"/>
      <c r="D353" s="19"/>
      <c r="E353" s="19"/>
      <c r="F353" s="19"/>
      <c r="G353" s="19"/>
      <c r="H353" s="19"/>
      <c r="I353" s="19"/>
      <c r="J353" s="19"/>
      <c r="K353" s="19"/>
      <c r="L353" s="22"/>
      <c r="M353" s="22"/>
      <c r="N353" s="9"/>
      <c r="O353" s="9"/>
      <c r="P353" s="9"/>
      <c r="Q353" s="9"/>
      <c r="R353" s="9"/>
      <c r="S353" s="9"/>
      <c r="T353" s="9"/>
      <c r="U353" s="9"/>
      <c r="V353" s="9"/>
      <c r="W353" s="9"/>
      <c r="X353" s="9"/>
      <c r="Y353" s="9"/>
    </row>
    <row r="354" ht="15.75" customHeight="1">
      <c r="A354" s="17"/>
      <c r="B354" s="17"/>
      <c r="C354" s="19"/>
      <c r="D354" s="19"/>
      <c r="E354" s="19"/>
      <c r="F354" s="19"/>
      <c r="G354" s="19"/>
      <c r="H354" s="19"/>
      <c r="I354" s="19"/>
      <c r="J354" s="19"/>
      <c r="K354" s="19"/>
      <c r="L354" s="22"/>
      <c r="M354" s="22"/>
      <c r="N354" s="9"/>
      <c r="O354" s="9"/>
      <c r="P354" s="9"/>
      <c r="Q354" s="9"/>
      <c r="R354" s="9"/>
      <c r="S354" s="9"/>
      <c r="T354" s="9"/>
      <c r="U354" s="9"/>
      <c r="V354" s="9"/>
      <c r="W354" s="9"/>
      <c r="X354" s="9"/>
      <c r="Y354" s="9"/>
    </row>
    <row r="355" ht="15.75" customHeight="1">
      <c r="A355" s="17"/>
      <c r="B355" s="17"/>
      <c r="C355" s="19"/>
      <c r="D355" s="19"/>
      <c r="E355" s="19"/>
      <c r="F355" s="19"/>
      <c r="G355" s="19"/>
      <c r="H355" s="19"/>
      <c r="I355" s="19"/>
      <c r="J355" s="19"/>
      <c r="K355" s="19"/>
      <c r="L355" s="22"/>
      <c r="M355" s="22"/>
      <c r="N355" s="9"/>
      <c r="O355" s="9"/>
      <c r="P355" s="9"/>
      <c r="Q355" s="9"/>
      <c r="R355" s="9"/>
      <c r="S355" s="9"/>
      <c r="T355" s="9"/>
      <c r="U355" s="9"/>
      <c r="V355" s="9"/>
      <c r="W355" s="9"/>
      <c r="X355" s="9"/>
      <c r="Y355" s="9"/>
    </row>
    <row r="356" ht="15.75" customHeight="1">
      <c r="A356" s="17"/>
      <c r="B356" s="17"/>
      <c r="C356" s="19"/>
      <c r="D356" s="19"/>
      <c r="E356" s="19"/>
      <c r="F356" s="19"/>
      <c r="G356" s="19"/>
      <c r="H356" s="19"/>
      <c r="I356" s="19"/>
      <c r="J356" s="19"/>
      <c r="K356" s="19"/>
      <c r="L356" s="22"/>
      <c r="M356" s="22"/>
      <c r="N356" s="9"/>
      <c r="O356" s="9"/>
      <c r="P356" s="9"/>
      <c r="Q356" s="9"/>
      <c r="R356" s="9"/>
      <c r="S356" s="9"/>
      <c r="T356" s="9"/>
      <c r="U356" s="9"/>
      <c r="V356" s="9"/>
      <c r="W356" s="9"/>
      <c r="X356" s="9"/>
      <c r="Y356" s="9"/>
    </row>
    <row r="357" ht="15.75" customHeight="1">
      <c r="A357" s="17"/>
      <c r="B357" s="17"/>
      <c r="C357" s="19"/>
      <c r="D357" s="19"/>
      <c r="E357" s="19"/>
      <c r="F357" s="19"/>
      <c r="G357" s="19"/>
      <c r="H357" s="19"/>
      <c r="I357" s="19"/>
      <c r="J357" s="19"/>
      <c r="K357" s="19"/>
      <c r="L357" s="22"/>
      <c r="M357" s="22"/>
      <c r="N357" s="9"/>
      <c r="O357" s="9"/>
      <c r="P357" s="9"/>
      <c r="Q357" s="9"/>
      <c r="R357" s="9"/>
      <c r="S357" s="9"/>
      <c r="T357" s="9"/>
      <c r="U357" s="9"/>
      <c r="V357" s="9"/>
      <c r="W357" s="9"/>
      <c r="X357" s="9"/>
      <c r="Y357" s="9"/>
    </row>
    <row r="358" ht="15.75" customHeight="1">
      <c r="A358" s="17"/>
      <c r="B358" s="17"/>
      <c r="C358" s="19"/>
      <c r="D358" s="19"/>
      <c r="E358" s="19"/>
      <c r="F358" s="19"/>
      <c r="G358" s="19"/>
      <c r="H358" s="19"/>
      <c r="I358" s="19"/>
      <c r="J358" s="19"/>
      <c r="K358" s="19"/>
      <c r="L358" s="22"/>
      <c r="M358" s="22"/>
      <c r="N358" s="9"/>
      <c r="O358" s="9"/>
      <c r="P358" s="9"/>
      <c r="Q358" s="9"/>
      <c r="R358" s="9"/>
      <c r="S358" s="9"/>
      <c r="T358" s="9"/>
      <c r="U358" s="9"/>
      <c r="V358" s="9"/>
      <c r="W358" s="9"/>
      <c r="X358" s="9"/>
      <c r="Y358" s="9"/>
    </row>
    <row r="359" ht="15.75" customHeight="1">
      <c r="A359" s="17"/>
      <c r="B359" s="17"/>
      <c r="C359" s="19"/>
      <c r="D359" s="19"/>
      <c r="E359" s="19"/>
      <c r="F359" s="19"/>
      <c r="G359" s="19"/>
      <c r="H359" s="19"/>
      <c r="I359" s="19"/>
      <c r="J359" s="19"/>
      <c r="K359" s="19"/>
      <c r="L359" s="22"/>
      <c r="M359" s="22"/>
      <c r="N359" s="9"/>
      <c r="O359" s="9"/>
      <c r="P359" s="9"/>
      <c r="Q359" s="9"/>
      <c r="R359" s="9"/>
      <c r="S359" s="9"/>
      <c r="T359" s="9"/>
      <c r="U359" s="9"/>
      <c r="V359" s="9"/>
      <c r="W359" s="9"/>
      <c r="X359" s="9"/>
      <c r="Y359" s="9"/>
    </row>
    <row r="360" ht="15.75" customHeight="1">
      <c r="A360" s="17"/>
      <c r="B360" s="17"/>
      <c r="C360" s="19"/>
      <c r="D360" s="19"/>
      <c r="E360" s="19"/>
      <c r="F360" s="19"/>
      <c r="G360" s="19"/>
      <c r="H360" s="19"/>
      <c r="I360" s="19"/>
      <c r="J360" s="19"/>
      <c r="K360" s="19"/>
      <c r="L360" s="22"/>
      <c r="M360" s="22"/>
      <c r="N360" s="9"/>
      <c r="O360" s="9"/>
      <c r="P360" s="9"/>
      <c r="Q360" s="9"/>
      <c r="R360" s="9"/>
      <c r="S360" s="9"/>
      <c r="T360" s="9"/>
      <c r="U360" s="9"/>
      <c r="V360" s="9"/>
      <c r="W360" s="9"/>
      <c r="X360" s="9"/>
      <c r="Y360" s="9"/>
    </row>
    <row r="361" ht="15.75" customHeight="1">
      <c r="A361" s="17"/>
      <c r="B361" s="17"/>
      <c r="C361" s="19"/>
      <c r="D361" s="19"/>
      <c r="E361" s="19"/>
      <c r="F361" s="19"/>
      <c r="G361" s="19"/>
      <c r="H361" s="19"/>
      <c r="I361" s="19"/>
      <c r="J361" s="19"/>
      <c r="K361" s="19"/>
      <c r="L361" s="22"/>
      <c r="M361" s="22"/>
      <c r="N361" s="9"/>
      <c r="O361" s="9"/>
      <c r="P361" s="9"/>
      <c r="Q361" s="9"/>
      <c r="R361" s="9"/>
      <c r="S361" s="9"/>
      <c r="T361" s="9"/>
      <c r="U361" s="9"/>
      <c r="V361" s="9"/>
      <c r="W361" s="9"/>
      <c r="X361" s="9"/>
      <c r="Y361" s="9"/>
    </row>
    <row r="362" ht="15.75" customHeight="1">
      <c r="A362" s="17"/>
      <c r="B362" s="17"/>
      <c r="C362" s="19"/>
      <c r="D362" s="19"/>
      <c r="E362" s="19"/>
      <c r="F362" s="19"/>
      <c r="G362" s="19"/>
      <c r="H362" s="19"/>
      <c r="I362" s="19"/>
      <c r="J362" s="19"/>
      <c r="K362" s="19"/>
      <c r="L362" s="22"/>
      <c r="M362" s="22"/>
      <c r="N362" s="9"/>
      <c r="O362" s="9"/>
      <c r="P362" s="9"/>
      <c r="Q362" s="9"/>
      <c r="R362" s="9"/>
      <c r="S362" s="9"/>
      <c r="T362" s="9"/>
      <c r="U362" s="9"/>
      <c r="V362" s="9"/>
      <c r="W362" s="9"/>
      <c r="X362" s="9"/>
      <c r="Y362" s="9"/>
    </row>
    <row r="363" ht="15.75" customHeight="1">
      <c r="A363" s="17"/>
      <c r="B363" s="17"/>
      <c r="C363" s="19"/>
      <c r="D363" s="19"/>
      <c r="E363" s="19"/>
      <c r="F363" s="19"/>
      <c r="G363" s="19"/>
      <c r="H363" s="19"/>
      <c r="I363" s="19"/>
      <c r="J363" s="19"/>
      <c r="K363" s="19"/>
      <c r="L363" s="22"/>
      <c r="M363" s="22"/>
      <c r="N363" s="9"/>
      <c r="O363" s="9"/>
      <c r="P363" s="9"/>
      <c r="Q363" s="9"/>
      <c r="R363" s="9"/>
      <c r="S363" s="9"/>
      <c r="T363" s="9"/>
      <c r="U363" s="9"/>
      <c r="V363" s="9"/>
      <c r="W363" s="9"/>
      <c r="X363" s="9"/>
      <c r="Y363" s="9"/>
    </row>
    <row r="364" ht="15.75" customHeight="1">
      <c r="A364" s="17"/>
      <c r="B364" s="17"/>
      <c r="C364" s="19"/>
      <c r="D364" s="19"/>
      <c r="E364" s="19"/>
      <c r="F364" s="19"/>
      <c r="G364" s="19"/>
      <c r="H364" s="19"/>
      <c r="I364" s="19"/>
      <c r="J364" s="19"/>
      <c r="K364" s="19"/>
      <c r="L364" s="22"/>
      <c r="M364" s="22"/>
      <c r="N364" s="9"/>
      <c r="O364" s="9"/>
      <c r="P364" s="9"/>
      <c r="Q364" s="9"/>
      <c r="R364" s="9"/>
      <c r="S364" s="9"/>
      <c r="T364" s="9"/>
      <c r="U364" s="9"/>
      <c r="V364" s="9"/>
      <c r="W364" s="9"/>
      <c r="X364" s="9"/>
      <c r="Y364" s="9"/>
    </row>
    <row r="365" ht="15.75" customHeight="1">
      <c r="A365" s="17"/>
      <c r="B365" s="17"/>
      <c r="C365" s="19"/>
      <c r="D365" s="19"/>
      <c r="E365" s="19"/>
      <c r="F365" s="19"/>
      <c r="G365" s="19"/>
      <c r="H365" s="19"/>
      <c r="I365" s="19"/>
      <c r="J365" s="19"/>
      <c r="K365" s="19"/>
      <c r="L365" s="22"/>
      <c r="M365" s="22"/>
      <c r="N365" s="9"/>
      <c r="O365" s="9"/>
      <c r="P365" s="9"/>
      <c r="Q365" s="9"/>
      <c r="R365" s="9"/>
      <c r="S365" s="9"/>
      <c r="T365" s="9"/>
      <c r="U365" s="9"/>
      <c r="V365" s="9"/>
      <c r="W365" s="9"/>
      <c r="X365" s="9"/>
      <c r="Y365" s="9"/>
    </row>
    <row r="366" ht="15.75" customHeight="1">
      <c r="A366" s="17"/>
      <c r="B366" s="17"/>
      <c r="C366" s="19"/>
      <c r="D366" s="19"/>
      <c r="E366" s="19"/>
      <c r="F366" s="19"/>
      <c r="G366" s="19"/>
      <c r="H366" s="19"/>
      <c r="I366" s="19"/>
      <c r="J366" s="19"/>
      <c r="K366" s="19"/>
      <c r="L366" s="22"/>
      <c r="M366" s="22"/>
      <c r="N366" s="9"/>
      <c r="O366" s="9"/>
      <c r="P366" s="9"/>
      <c r="Q366" s="9"/>
      <c r="R366" s="9"/>
      <c r="S366" s="9"/>
      <c r="T366" s="9"/>
      <c r="U366" s="9"/>
      <c r="V366" s="9"/>
      <c r="W366" s="9"/>
      <c r="X366" s="9"/>
      <c r="Y366" s="9"/>
    </row>
    <row r="367" ht="15.75" customHeight="1">
      <c r="A367" s="17"/>
      <c r="B367" s="17"/>
      <c r="C367" s="19"/>
      <c r="D367" s="19"/>
      <c r="E367" s="19"/>
      <c r="F367" s="19"/>
      <c r="G367" s="19"/>
      <c r="H367" s="19"/>
      <c r="I367" s="19"/>
      <c r="J367" s="19"/>
      <c r="K367" s="19"/>
      <c r="L367" s="22"/>
      <c r="M367" s="22"/>
      <c r="N367" s="9"/>
      <c r="O367" s="9"/>
      <c r="P367" s="9"/>
      <c r="Q367" s="9"/>
      <c r="R367" s="9"/>
      <c r="S367" s="9"/>
      <c r="T367" s="9"/>
      <c r="U367" s="9"/>
      <c r="V367" s="9"/>
      <c r="W367" s="9"/>
      <c r="X367" s="9"/>
      <c r="Y367" s="9"/>
    </row>
    <row r="368" ht="15.75" customHeight="1">
      <c r="A368" s="17"/>
      <c r="B368" s="17"/>
      <c r="C368" s="19"/>
      <c r="D368" s="19"/>
      <c r="E368" s="19"/>
      <c r="F368" s="19"/>
      <c r="G368" s="19"/>
      <c r="H368" s="19"/>
      <c r="I368" s="19"/>
      <c r="J368" s="19"/>
      <c r="K368" s="19"/>
      <c r="L368" s="22"/>
      <c r="M368" s="22"/>
      <c r="N368" s="9"/>
      <c r="O368" s="9"/>
      <c r="P368" s="9"/>
      <c r="Q368" s="9"/>
      <c r="R368" s="9"/>
      <c r="S368" s="9"/>
      <c r="T368" s="9"/>
      <c r="U368" s="9"/>
      <c r="V368" s="9"/>
      <c r="W368" s="9"/>
      <c r="X368" s="9"/>
      <c r="Y368" s="9"/>
    </row>
    <row r="369" ht="15.75" customHeight="1">
      <c r="A369" s="17"/>
      <c r="B369" s="17"/>
      <c r="C369" s="19"/>
      <c r="D369" s="19"/>
      <c r="E369" s="19"/>
      <c r="F369" s="19"/>
      <c r="G369" s="19"/>
      <c r="H369" s="19"/>
      <c r="I369" s="19"/>
      <c r="J369" s="19"/>
      <c r="K369" s="19"/>
      <c r="L369" s="22"/>
      <c r="M369" s="22"/>
      <c r="N369" s="9"/>
      <c r="O369" s="9"/>
      <c r="P369" s="9"/>
      <c r="Q369" s="9"/>
      <c r="R369" s="9"/>
      <c r="S369" s="9"/>
      <c r="T369" s="9"/>
      <c r="U369" s="9"/>
      <c r="V369" s="9"/>
      <c r="W369" s="9"/>
      <c r="X369" s="9"/>
      <c r="Y369" s="9"/>
    </row>
    <row r="370" ht="15.75" customHeight="1">
      <c r="A370" s="17"/>
      <c r="B370" s="17"/>
      <c r="C370" s="19"/>
      <c r="D370" s="19"/>
      <c r="E370" s="19"/>
      <c r="F370" s="19"/>
      <c r="G370" s="19"/>
      <c r="H370" s="19"/>
      <c r="I370" s="19"/>
      <c r="J370" s="19"/>
      <c r="K370" s="19"/>
      <c r="L370" s="22"/>
      <c r="M370" s="22"/>
      <c r="N370" s="9"/>
      <c r="O370" s="9"/>
      <c r="P370" s="9"/>
      <c r="Q370" s="9"/>
      <c r="R370" s="9"/>
      <c r="S370" s="9"/>
      <c r="T370" s="9"/>
      <c r="U370" s="9"/>
      <c r="V370" s="9"/>
      <c r="W370" s="9"/>
      <c r="X370" s="9"/>
      <c r="Y370" s="9"/>
    </row>
    <row r="371" ht="15.75" customHeight="1">
      <c r="A371" s="17"/>
      <c r="B371" s="17"/>
      <c r="C371" s="19"/>
      <c r="D371" s="19"/>
      <c r="E371" s="19"/>
      <c r="F371" s="19"/>
      <c r="G371" s="19"/>
      <c r="H371" s="19"/>
      <c r="I371" s="19"/>
      <c r="J371" s="19"/>
      <c r="K371" s="19"/>
      <c r="L371" s="22"/>
      <c r="M371" s="22"/>
      <c r="N371" s="9"/>
      <c r="O371" s="9"/>
      <c r="P371" s="9"/>
      <c r="Q371" s="9"/>
      <c r="R371" s="9"/>
      <c r="S371" s="9"/>
      <c r="T371" s="9"/>
      <c r="U371" s="9"/>
      <c r="V371" s="9"/>
      <c r="W371" s="9"/>
      <c r="X371" s="9"/>
      <c r="Y371" s="9"/>
    </row>
    <row r="372" ht="15.75" customHeight="1">
      <c r="A372" s="17"/>
      <c r="B372" s="17"/>
      <c r="C372" s="19"/>
      <c r="D372" s="19"/>
      <c r="E372" s="19"/>
      <c r="F372" s="19"/>
      <c r="G372" s="19"/>
      <c r="H372" s="19"/>
      <c r="I372" s="19"/>
      <c r="J372" s="19"/>
      <c r="K372" s="19"/>
      <c r="L372" s="22"/>
      <c r="M372" s="22"/>
      <c r="N372" s="9"/>
      <c r="O372" s="9"/>
      <c r="P372" s="9"/>
      <c r="Q372" s="9"/>
      <c r="R372" s="9"/>
      <c r="S372" s="9"/>
      <c r="T372" s="9"/>
      <c r="U372" s="9"/>
      <c r="V372" s="9"/>
      <c r="W372" s="9"/>
      <c r="X372" s="9"/>
      <c r="Y372" s="9"/>
    </row>
    <row r="373" ht="15.75" customHeight="1">
      <c r="A373" s="17"/>
      <c r="B373" s="17"/>
      <c r="C373" s="19"/>
      <c r="D373" s="19"/>
      <c r="E373" s="19"/>
      <c r="F373" s="19"/>
      <c r="G373" s="19"/>
      <c r="H373" s="19"/>
      <c r="I373" s="19"/>
      <c r="J373" s="19"/>
      <c r="K373" s="19"/>
      <c r="L373" s="22"/>
      <c r="M373" s="22"/>
      <c r="N373" s="9"/>
      <c r="O373" s="9"/>
      <c r="P373" s="9"/>
      <c r="Q373" s="9"/>
      <c r="R373" s="9"/>
      <c r="S373" s="9"/>
      <c r="T373" s="9"/>
      <c r="U373" s="9"/>
      <c r="V373" s="9"/>
      <c r="W373" s="9"/>
      <c r="X373" s="9"/>
      <c r="Y373" s="9"/>
    </row>
    <row r="374" ht="15.75" customHeight="1">
      <c r="A374" s="17"/>
      <c r="B374" s="17"/>
      <c r="C374" s="19"/>
      <c r="D374" s="19"/>
      <c r="E374" s="19"/>
      <c r="F374" s="19"/>
      <c r="G374" s="19"/>
      <c r="H374" s="19"/>
      <c r="I374" s="19"/>
      <c r="J374" s="19"/>
      <c r="K374" s="19"/>
      <c r="L374" s="22"/>
      <c r="M374" s="22"/>
      <c r="N374" s="9"/>
      <c r="O374" s="9"/>
      <c r="P374" s="9"/>
      <c r="Q374" s="9"/>
      <c r="R374" s="9"/>
      <c r="S374" s="9"/>
      <c r="T374" s="9"/>
      <c r="U374" s="9"/>
      <c r="V374" s="9"/>
      <c r="W374" s="9"/>
      <c r="X374" s="9"/>
      <c r="Y374" s="9"/>
    </row>
    <row r="375" ht="15.75" customHeight="1">
      <c r="A375" s="17"/>
      <c r="B375" s="17"/>
      <c r="C375" s="19"/>
      <c r="D375" s="19"/>
      <c r="E375" s="19"/>
      <c r="F375" s="19"/>
      <c r="G375" s="19"/>
      <c r="H375" s="19"/>
      <c r="I375" s="19"/>
      <c r="J375" s="19"/>
      <c r="K375" s="19"/>
      <c r="L375" s="22"/>
      <c r="M375" s="22"/>
      <c r="N375" s="9"/>
      <c r="O375" s="9"/>
      <c r="P375" s="9"/>
      <c r="Q375" s="9"/>
      <c r="R375" s="9"/>
      <c r="S375" s="9"/>
      <c r="T375" s="9"/>
      <c r="U375" s="9"/>
      <c r="V375" s="9"/>
      <c r="W375" s="9"/>
      <c r="X375" s="9"/>
      <c r="Y375" s="9"/>
    </row>
    <row r="376" ht="15.75" customHeight="1">
      <c r="A376" s="17"/>
      <c r="B376" s="17"/>
      <c r="C376" s="19"/>
      <c r="D376" s="19"/>
      <c r="E376" s="19"/>
      <c r="F376" s="19"/>
      <c r="G376" s="19"/>
      <c r="H376" s="19"/>
      <c r="I376" s="19"/>
      <c r="J376" s="19"/>
      <c r="K376" s="19"/>
      <c r="L376" s="22"/>
      <c r="M376" s="22"/>
      <c r="N376" s="9"/>
      <c r="O376" s="9"/>
      <c r="P376" s="9"/>
      <c r="Q376" s="9"/>
      <c r="R376" s="9"/>
      <c r="S376" s="9"/>
      <c r="T376" s="9"/>
      <c r="U376" s="9"/>
      <c r="V376" s="9"/>
      <c r="W376" s="9"/>
      <c r="X376" s="9"/>
      <c r="Y376" s="9"/>
    </row>
    <row r="377" ht="15.75" customHeight="1">
      <c r="A377" s="17"/>
      <c r="B377" s="17"/>
      <c r="C377" s="19"/>
      <c r="D377" s="19"/>
      <c r="E377" s="19"/>
      <c r="F377" s="19"/>
      <c r="G377" s="19"/>
      <c r="H377" s="19"/>
      <c r="I377" s="19"/>
      <c r="J377" s="19"/>
      <c r="K377" s="19"/>
      <c r="L377" s="22"/>
      <c r="M377" s="22"/>
      <c r="N377" s="9"/>
      <c r="O377" s="9"/>
      <c r="P377" s="9"/>
      <c r="Q377" s="9"/>
      <c r="R377" s="9"/>
      <c r="S377" s="9"/>
      <c r="T377" s="9"/>
      <c r="U377" s="9"/>
      <c r="V377" s="9"/>
      <c r="W377" s="9"/>
      <c r="X377" s="9"/>
      <c r="Y377" s="9"/>
    </row>
    <row r="378" ht="15.75" customHeight="1">
      <c r="A378" s="17"/>
      <c r="B378" s="17"/>
      <c r="C378" s="19"/>
      <c r="D378" s="19"/>
      <c r="E378" s="19"/>
      <c r="F378" s="19"/>
      <c r="G378" s="19"/>
      <c r="H378" s="19"/>
      <c r="I378" s="19"/>
      <c r="J378" s="19"/>
      <c r="K378" s="19"/>
      <c r="L378" s="22"/>
      <c r="M378" s="22"/>
      <c r="N378" s="9"/>
      <c r="O378" s="9"/>
      <c r="P378" s="9"/>
      <c r="Q378" s="9"/>
      <c r="R378" s="9"/>
      <c r="S378" s="9"/>
      <c r="T378" s="9"/>
      <c r="U378" s="9"/>
      <c r="V378" s="9"/>
      <c r="W378" s="9"/>
      <c r="X378" s="9"/>
      <c r="Y378" s="9"/>
    </row>
    <row r="379" ht="15.75" customHeight="1">
      <c r="A379" s="17"/>
      <c r="B379" s="17"/>
      <c r="C379" s="19"/>
      <c r="D379" s="19"/>
      <c r="E379" s="19"/>
      <c r="F379" s="19"/>
      <c r="G379" s="19"/>
      <c r="H379" s="19"/>
      <c r="I379" s="19"/>
      <c r="J379" s="19"/>
      <c r="K379" s="19"/>
      <c r="L379" s="22"/>
      <c r="M379" s="22"/>
      <c r="N379" s="9"/>
      <c r="O379" s="9"/>
      <c r="P379" s="9"/>
      <c r="Q379" s="9"/>
      <c r="R379" s="9"/>
      <c r="S379" s="9"/>
      <c r="T379" s="9"/>
      <c r="U379" s="9"/>
      <c r="V379" s="9"/>
      <c r="W379" s="9"/>
      <c r="X379" s="9"/>
      <c r="Y379" s="9"/>
    </row>
    <row r="380" ht="15.75" customHeight="1">
      <c r="A380" s="17"/>
      <c r="B380" s="17"/>
      <c r="C380" s="19"/>
      <c r="D380" s="19"/>
      <c r="E380" s="19"/>
      <c r="F380" s="19"/>
      <c r="G380" s="19"/>
      <c r="H380" s="19"/>
      <c r="I380" s="19"/>
      <c r="J380" s="19"/>
      <c r="K380" s="19"/>
      <c r="L380" s="22"/>
      <c r="M380" s="22"/>
      <c r="N380" s="9"/>
      <c r="O380" s="9"/>
      <c r="P380" s="9"/>
      <c r="Q380" s="9"/>
      <c r="R380" s="9"/>
      <c r="S380" s="9"/>
      <c r="T380" s="9"/>
      <c r="U380" s="9"/>
      <c r="V380" s="9"/>
      <c r="W380" s="9"/>
      <c r="X380" s="9"/>
      <c r="Y380" s="9"/>
    </row>
    <row r="381" ht="15.75" customHeight="1">
      <c r="A381" s="17"/>
      <c r="B381" s="17"/>
      <c r="C381" s="19"/>
      <c r="D381" s="19"/>
      <c r="E381" s="19"/>
      <c r="F381" s="19"/>
      <c r="G381" s="19"/>
      <c r="H381" s="19"/>
      <c r="I381" s="19"/>
      <c r="J381" s="19"/>
      <c r="K381" s="19"/>
      <c r="L381" s="22"/>
      <c r="M381" s="22"/>
      <c r="N381" s="9"/>
      <c r="O381" s="9"/>
      <c r="P381" s="9"/>
      <c r="Q381" s="9"/>
      <c r="R381" s="9"/>
      <c r="S381" s="9"/>
      <c r="T381" s="9"/>
      <c r="U381" s="9"/>
      <c r="V381" s="9"/>
      <c r="W381" s="9"/>
      <c r="X381" s="9"/>
      <c r="Y381" s="9"/>
    </row>
    <row r="382" ht="15.75" customHeight="1">
      <c r="A382" s="17"/>
      <c r="B382" s="17"/>
      <c r="C382" s="19"/>
      <c r="D382" s="19"/>
      <c r="E382" s="19"/>
      <c r="F382" s="19"/>
      <c r="G382" s="19"/>
      <c r="H382" s="19"/>
      <c r="I382" s="19"/>
      <c r="J382" s="19"/>
      <c r="K382" s="19"/>
      <c r="L382" s="22"/>
      <c r="M382" s="22"/>
      <c r="N382" s="9"/>
      <c r="O382" s="9"/>
      <c r="P382" s="9"/>
      <c r="Q382" s="9"/>
      <c r="R382" s="9"/>
      <c r="S382" s="9"/>
      <c r="T382" s="9"/>
      <c r="U382" s="9"/>
      <c r="V382" s="9"/>
      <c r="W382" s="9"/>
      <c r="X382" s="9"/>
      <c r="Y382" s="9"/>
    </row>
    <row r="383" ht="15.75" customHeight="1">
      <c r="A383" s="17"/>
      <c r="B383" s="17"/>
      <c r="C383" s="19"/>
      <c r="D383" s="19"/>
      <c r="E383" s="19"/>
      <c r="F383" s="19"/>
      <c r="G383" s="19"/>
      <c r="H383" s="19"/>
      <c r="I383" s="19"/>
      <c r="J383" s="19"/>
      <c r="K383" s="19"/>
      <c r="L383" s="22"/>
      <c r="M383" s="22"/>
      <c r="N383" s="9"/>
      <c r="O383" s="9"/>
      <c r="P383" s="9"/>
      <c r="Q383" s="9"/>
      <c r="R383" s="9"/>
      <c r="S383" s="9"/>
      <c r="T383" s="9"/>
      <c r="U383" s="9"/>
      <c r="V383" s="9"/>
      <c r="W383" s="9"/>
      <c r="X383" s="9"/>
      <c r="Y383" s="9"/>
    </row>
    <row r="384" ht="15.75" customHeight="1">
      <c r="A384" s="17"/>
      <c r="B384" s="17"/>
      <c r="C384" s="19"/>
      <c r="D384" s="19"/>
      <c r="E384" s="19"/>
      <c r="F384" s="19"/>
      <c r="G384" s="19"/>
      <c r="H384" s="19"/>
      <c r="I384" s="19"/>
      <c r="J384" s="19"/>
      <c r="K384" s="19"/>
      <c r="L384" s="22"/>
      <c r="M384" s="22"/>
      <c r="N384" s="9"/>
      <c r="O384" s="9"/>
      <c r="P384" s="9"/>
      <c r="Q384" s="9"/>
      <c r="R384" s="9"/>
      <c r="S384" s="9"/>
      <c r="T384" s="9"/>
      <c r="U384" s="9"/>
      <c r="V384" s="9"/>
      <c r="W384" s="9"/>
      <c r="X384" s="9"/>
      <c r="Y384" s="9"/>
    </row>
    <row r="385" ht="15.75" customHeight="1">
      <c r="A385" s="17"/>
      <c r="B385" s="17"/>
      <c r="C385" s="19"/>
      <c r="D385" s="19"/>
      <c r="E385" s="19"/>
      <c r="F385" s="19"/>
      <c r="G385" s="19"/>
      <c r="H385" s="19"/>
      <c r="I385" s="19"/>
      <c r="J385" s="19"/>
      <c r="K385" s="19"/>
      <c r="L385" s="22"/>
      <c r="M385" s="22"/>
      <c r="N385" s="9"/>
      <c r="O385" s="9"/>
      <c r="P385" s="9"/>
      <c r="Q385" s="9"/>
      <c r="R385" s="9"/>
      <c r="S385" s="9"/>
      <c r="T385" s="9"/>
      <c r="U385" s="9"/>
      <c r="V385" s="9"/>
      <c r="W385" s="9"/>
      <c r="X385" s="9"/>
      <c r="Y385" s="9"/>
    </row>
    <row r="386" ht="15.75" customHeight="1">
      <c r="A386" s="17"/>
      <c r="B386" s="17"/>
      <c r="C386" s="19"/>
      <c r="D386" s="19"/>
      <c r="E386" s="19"/>
      <c r="F386" s="19"/>
      <c r="G386" s="19"/>
      <c r="H386" s="19"/>
      <c r="I386" s="19"/>
      <c r="J386" s="19"/>
      <c r="K386" s="19"/>
      <c r="L386" s="22"/>
      <c r="M386" s="22"/>
      <c r="N386" s="9"/>
      <c r="O386" s="9"/>
      <c r="P386" s="9"/>
      <c r="Q386" s="9"/>
      <c r="R386" s="9"/>
      <c r="S386" s="9"/>
      <c r="T386" s="9"/>
      <c r="U386" s="9"/>
      <c r="V386" s="9"/>
      <c r="W386" s="9"/>
      <c r="X386" s="9"/>
      <c r="Y386" s="9"/>
    </row>
    <row r="387" ht="15.75" customHeight="1">
      <c r="A387" s="17"/>
      <c r="B387" s="17"/>
      <c r="C387" s="19"/>
      <c r="D387" s="19"/>
      <c r="E387" s="19"/>
      <c r="F387" s="19"/>
      <c r="G387" s="19"/>
      <c r="H387" s="19"/>
      <c r="I387" s="19"/>
      <c r="J387" s="19"/>
      <c r="K387" s="19"/>
      <c r="L387" s="22"/>
      <c r="M387" s="22"/>
      <c r="N387" s="9"/>
      <c r="O387" s="9"/>
      <c r="P387" s="9"/>
      <c r="Q387" s="9"/>
      <c r="R387" s="9"/>
      <c r="S387" s="9"/>
      <c r="T387" s="9"/>
      <c r="U387" s="9"/>
      <c r="V387" s="9"/>
      <c r="W387" s="9"/>
      <c r="X387" s="9"/>
      <c r="Y387" s="9"/>
    </row>
    <row r="388" ht="15.75" customHeight="1">
      <c r="A388" s="17"/>
      <c r="B388" s="17"/>
      <c r="C388" s="19"/>
      <c r="D388" s="19"/>
      <c r="E388" s="19"/>
      <c r="F388" s="19"/>
      <c r="G388" s="19"/>
      <c r="H388" s="19"/>
      <c r="I388" s="19"/>
      <c r="J388" s="19"/>
      <c r="K388" s="19"/>
      <c r="L388" s="22"/>
      <c r="M388" s="22"/>
      <c r="N388" s="9"/>
      <c r="O388" s="9"/>
      <c r="P388" s="9"/>
      <c r="Q388" s="9"/>
      <c r="R388" s="9"/>
      <c r="S388" s="9"/>
      <c r="T388" s="9"/>
      <c r="U388" s="9"/>
      <c r="V388" s="9"/>
      <c r="W388" s="9"/>
      <c r="X388" s="9"/>
      <c r="Y388" s="9"/>
    </row>
    <row r="389" ht="15.75" customHeight="1">
      <c r="A389" s="17"/>
      <c r="B389" s="17"/>
      <c r="C389" s="19"/>
      <c r="D389" s="19"/>
      <c r="E389" s="19"/>
      <c r="F389" s="19"/>
      <c r="G389" s="19"/>
      <c r="H389" s="19"/>
      <c r="I389" s="19"/>
      <c r="J389" s="19"/>
      <c r="K389" s="19"/>
      <c r="L389" s="22"/>
      <c r="M389" s="22"/>
      <c r="N389" s="9"/>
      <c r="O389" s="9"/>
      <c r="P389" s="9"/>
      <c r="Q389" s="9"/>
      <c r="R389" s="9"/>
      <c r="S389" s="9"/>
      <c r="T389" s="9"/>
      <c r="U389" s="9"/>
      <c r="V389" s="9"/>
      <c r="W389" s="9"/>
      <c r="X389" s="9"/>
      <c r="Y389" s="9"/>
    </row>
    <row r="390" ht="15.75" customHeight="1">
      <c r="A390" s="17"/>
      <c r="B390" s="17"/>
      <c r="C390" s="19"/>
      <c r="D390" s="19"/>
      <c r="E390" s="19"/>
      <c r="F390" s="19"/>
      <c r="G390" s="19"/>
      <c r="H390" s="19"/>
      <c r="I390" s="19"/>
      <c r="J390" s="19"/>
      <c r="K390" s="19"/>
      <c r="L390" s="22"/>
      <c r="M390" s="22"/>
      <c r="N390" s="9"/>
      <c r="O390" s="9"/>
      <c r="P390" s="9"/>
      <c r="Q390" s="9"/>
      <c r="R390" s="9"/>
      <c r="S390" s="9"/>
      <c r="T390" s="9"/>
      <c r="U390" s="9"/>
      <c r="V390" s="9"/>
      <c r="W390" s="9"/>
      <c r="X390" s="9"/>
      <c r="Y390" s="9"/>
    </row>
    <row r="391" ht="15.75" customHeight="1">
      <c r="A391" s="17"/>
      <c r="B391" s="17"/>
      <c r="C391" s="19"/>
      <c r="D391" s="19"/>
      <c r="E391" s="19"/>
      <c r="F391" s="19"/>
      <c r="G391" s="19"/>
      <c r="H391" s="19"/>
      <c r="I391" s="19"/>
      <c r="J391" s="19"/>
      <c r="K391" s="19"/>
      <c r="L391" s="22"/>
      <c r="M391" s="22"/>
      <c r="N391" s="9"/>
      <c r="O391" s="9"/>
      <c r="P391" s="9"/>
      <c r="Q391" s="9"/>
      <c r="R391" s="9"/>
      <c r="S391" s="9"/>
      <c r="T391" s="9"/>
      <c r="U391" s="9"/>
      <c r="V391" s="9"/>
      <c r="W391" s="9"/>
      <c r="X391" s="9"/>
      <c r="Y391" s="9"/>
    </row>
    <row r="392" ht="15.75" customHeight="1">
      <c r="A392" s="17"/>
      <c r="B392" s="17"/>
      <c r="C392" s="19"/>
      <c r="D392" s="19"/>
      <c r="E392" s="19"/>
      <c r="F392" s="19"/>
      <c r="G392" s="19"/>
      <c r="H392" s="19"/>
      <c r="I392" s="19"/>
      <c r="J392" s="19"/>
      <c r="K392" s="19"/>
      <c r="L392" s="22"/>
      <c r="M392" s="22"/>
      <c r="N392" s="9"/>
      <c r="O392" s="9"/>
      <c r="P392" s="9"/>
      <c r="Q392" s="9"/>
      <c r="R392" s="9"/>
      <c r="S392" s="9"/>
      <c r="T392" s="9"/>
      <c r="U392" s="9"/>
      <c r="V392" s="9"/>
      <c r="W392" s="9"/>
      <c r="X392" s="9"/>
      <c r="Y392" s="9"/>
    </row>
    <row r="393" ht="15.75" customHeight="1">
      <c r="A393" s="17"/>
      <c r="B393" s="17"/>
      <c r="C393" s="19"/>
      <c r="D393" s="19"/>
      <c r="E393" s="19"/>
      <c r="F393" s="19"/>
      <c r="G393" s="19"/>
      <c r="H393" s="19"/>
      <c r="I393" s="19"/>
      <c r="J393" s="19"/>
      <c r="K393" s="19"/>
      <c r="L393" s="22"/>
      <c r="M393" s="22"/>
      <c r="N393" s="9"/>
      <c r="O393" s="9"/>
      <c r="P393" s="9"/>
      <c r="Q393" s="9"/>
      <c r="R393" s="9"/>
      <c r="S393" s="9"/>
      <c r="T393" s="9"/>
      <c r="U393" s="9"/>
      <c r="V393" s="9"/>
      <c r="W393" s="9"/>
      <c r="X393" s="9"/>
      <c r="Y393" s="9"/>
    </row>
    <row r="394" ht="15.75" customHeight="1">
      <c r="A394" s="17"/>
      <c r="B394" s="17"/>
      <c r="C394" s="19"/>
      <c r="D394" s="19"/>
      <c r="E394" s="19"/>
      <c r="F394" s="19"/>
      <c r="G394" s="19"/>
      <c r="H394" s="19"/>
      <c r="I394" s="19"/>
      <c r="J394" s="19"/>
      <c r="K394" s="19"/>
      <c r="L394" s="22"/>
      <c r="M394" s="22"/>
      <c r="N394" s="9"/>
      <c r="O394" s="9"/>
      <c r="P394" s="9"/>
      <c r="Q394" s="9"/>
      <c r="R394" s="9"/>
      <c r="S394" s="9"/>
      <c r="T394" s="9"/>
      <c r="U394" s="9"/>
      <c r="V394" s="9"/>
      <c r="W394" s="9"/>
      <c r="X394" s="9"/>
      <c r="Y394" s="9"/>
    </row>
    <row r="395" ht="15.75" customHeight="1">
      <c r="A395" s="17"/>
      <c r="B395" s="17"/>
      <c r="C395" s="19"/>
      <c r="D395" s="19"/>
      <c r="E395" s="19"/>
      <c r="F395" s="19"/>
      <c r="G395" s="19"/>
      <c r="H395" s="19"/>
      <c r="I395" s="19"/>
      <c r="J395" s="19"/>
      <c r="K395" s="19"/>
      <c r="L395" s="22"/>
      <c r="M395" s="22"/>
      <c r="N395" s="9"/>
      <c r="O395" s="9"/>
      <c r="P395" s="9"/>
      <c r="Q395" s="9"/>
      <c r="R395" s="9"/>
      <c r="S395" s="9"/>
      <c r="T395" s="9"/>
      <c r="U395" s="9"/>
      <c r="V395" s="9"/>
      <c r="W395" s="9"/>
      <c r="X395" s="9"/>
      <c r="Y395" s="9"/>
    </row>
    <row r="396" ht="15.75" customHeight="1">
      <c r="A396" s="17"/>
      <c r="B396" s="17"/>
      <c r="C396" s="19"/>
      <c r="D396" s="19"/>
      <c r="E396" s="19"/>
      <c r="F396" s="19"/>
      <c r="G396" s="19"/>
      <c r="H396" s="19"/>
      <c r="I396" s="19"/>
      <c r="J396" s="19"/>
      <c r="K396" s="19"/>
      <c r="L396" s="22"/>
      <c r="M396" s="22"/>
      <c r="N396" s="9"/>
      <c r="O396" s="9"/>
      <c r="P396" s="9"/>
      <c r="Q396" s="9"/>
      <c r="R396" s="9"/>
      <c r="S396" s="9"/>
      <c r="T396" s="9"/>
      <c r="U396" s="9"/>
      <c r="V396" s="9"/>
      <c r="W396" s="9"/>
      <c r="X396" s="9"/>
      <c r="Y396" s="9"/>
    </row>
    <row r="397" ht="15.75" customHeight="1">
      <c r="A397" s="17"/>
      <c r="B397" s="17"/>
      <c r="C397" s="19"/>
      <c r="D397" s="19"/>
      <c r="E397" s="19"/>
      <c r="F397" s="19"/>
      <c r="G397" s="19"/>
      <c r="H397" s="19"/>
      <c r="I397" s="19"/>
      <c r="J397" s="19"/>
      <c r="K397" s="19"/>
      <c r="L397" s="22"/>
      <c r="M397" s="22"/>
      <c r="N397" s="9"/>
      <c r="O397" s="9"/>
      <c r="P397" s="9"/>
      <c r="Q397" s="9"/>
      <c r="R397" s="9"/>
      <c r="S397" s="9"/>
      <c r="T397" s="9"/>
      <c r="U397" s="9"/>
      <c r="V397" s="9"/>
      <c r="W397" s="9"/>
      <c r="X397" s="9"/>
      <c r="Y397" s="9"/>
    </row>
    <row r="398" ht="15.75" customHeight="1">
      <c r="A398" s="17"/>
      <c r="B398" s="17"/>
      <c r="C398" s="19"/>
      <c r="D398" s="19"/>
      <c r="E398" s="19"/>
      <c r="F398" s="19"/>
      <c r="G398" s="19"/>
      <c r="H398" s="19"/>
      <c r="I398" s="19"/>
      <c r="J398" s="19"/>
      <c r="K398" s="19"/>
      <c r="L398" s="22"/>
      <c r="M398" s="22"/>
      <c r="N398" s="9"/>
      <c r="O398" s="9"/>
      <c r="P398" s="9"/>
      <c r="Q398" s="9"/>
      <c r="R398" s="9"/>
      <c r="S398" s="9"/>
      <c r="T398" s="9"/>
      <c r="U398" s="9"/>
      <c r="V398" s="9"/>
      <c r="W398" s="9"/>
      <c r="X398" s="9"/>
      <c r="Y398" s="9"/>
    </row>
    <row r="399" ht="15.75" customHeight="1">
      <c r="A399" s="17"/>
      <c r="B399" s="17"/>
      <c r="C399" s="19"/>
      <c r="D399" s="19"/>
      <c r="E399" s="19"/>
      <c r="F399" s="19"/>
      <c r="G399" s="19"/>
      <c r="H399" s="19"/>
      <c r="I399" s="19"/>
      <c r="J399" s="19"/>
      <c r="K399" s="19"/>
      <c r="L399" s="22"/>
      <c r="M399" s="22"/>
      <c r="N399" s="9"/>
      <c r="O399" s="9"/>
      <c r="P399" s="9"/>
      <c r="Q399" s="9"/>
      <c r="R399" s="9"/>
      <c r="S399" s="9"/>
      <c r="T399" s="9"/>
      <c r="U399" s="9"/>
      <c r="V399" s="9"/>
      <c r="W399" s="9"/>
      <c r="X399" s="9"/>
      <c r="Y399" s="9"/>
    </row>
    <row r="400" ht="15.75" customHeight="1">
      <c r="A400" s="17"/>
      <c r="B400" s="17"/>
      <c r="C400" s="19"/>
      <c r="D400" s="19"/>
      <c r="E400" s="19"/>
      <c r="F400" s="19"/>
      <c r="G400" s="19"/>
      <c r="H400" s="19"/>
      <c r="I400" s="19"/>
      <c r="J400" s="19"/>
      <c r="K400" s="19"/>
      <c r="L400" s="22"/>
      <c r="M400" s="22"/>
      <c r="N400" s="9"/>
      <c r="O400" s="9"/>
      <c r="P400" s="9"/>
      <c r="Q400" s="9"/>
      <c r="R400" s="9"/>
      <c r="S400" s="9"/>
      <c r="T400" s="9"/>
      <c r="U400" s="9"/>
      <c r="V400" s="9"/>
      <c r="W400" s="9"/>
      <c r="X400" s="9"/>
      <c r="Y400" s="9"/>
    </row>
    <row r="401" ht="15.75" customHeight="1">
      <c r="A401" s="17"/>
      <c r="B401" s="17"/>
      <c r="C401" s="19"/>
      <c r="D401" s="19"/>
      <c r="E401" s="19"/>
      <c r="F401" s="19"/>
      <c r="G401" s="19"/>
      <c r="H401" s="19"/>
      <c r="I401" s="19"/>
      <c r="J401" s="19"/>
      <c r="K401" s="19"/>
      <c r="L401" s="22"/>
      <c r="M401" s="22"/>
      <c r="N401" s="9"/>
      <c r="O401" s="9"/>
      <c r="P401" s="9"/>
      <c r="Q401" s="9"/>
      <c r="R401" s="9"/>
      <c r="S401" s="9"/>
      <c r="T401" s="9"/>
      <c r="U401" s="9"/>
      <c r="V401" s="9"/>
      <c r="W401" s="9"/>
      <c r="X401" s="9"/>
      <c r="Y401" s="9"/>
    </row>
    <row r="402" ht="15.75" customHeight="1">
      <c r="A402" s="17"/>
      <c r="B402" s="17"/>
      <c r="C402" s="19"/>
      <c r="D402" s="19"/>
      <c r="E402" s="19"/>
      <c r="F402" s="19"/>
      <c r="G402" s="19"/>
      <c r="H402" s="19"/>
      <c r="I402" s="19"/>
      <c r="J402" s="19"/>
      <c r="K402" s="19"/>
      <c r="L402" s="22"/>
      <c r="M402" s="22"/>
      <c r="N402" s="9"/>
      <c r="O402" s="9"/>
      <c r="P402" s="9"/>
      <c r="Q402" s="9"/>
      <c r="R402" s="9"/>
      <c r="S402" s="9"/>
      <c r="T402" s="9"/>
      <c r="U402" s="9"/>
      <c r="V402" s="9"/>
      <c r="W402" s="9"/>
      <c r="X402" s="9"/>
      <c r="Y402" s="9"/>
    </row>
    <row r="403" ht="15.75" customHeight="1">
      <c r="A403" s="17"/>
      <c r="B403" s="17"/>
      <c r="C403" s="19"/>
      <c r="D403" s="19"/>
      <c r="E403" s="19"/>
      <c r="F403" s="19"/>
      <c r="G403" s="19"/>
      <c r="H403" s="19"/>
      <c r="I403" s="19"/>
      <c r="J403" s="19"/>
      <c r="K403" s="19"/>
      <c r="L403" s="22"/>
      <c r="M403" s="22"/>
      <c r="N403" s="9"/>
      <c r="O403" s="9"/>
      <c r="P403" s="9"/>
      <c r="Q403" s="9"/>
      <c r="R403" s="9"/>
      <c r="S403" s="9"/>
      <c r="T403" s="9"/>
      <c r="U403" s="9"/>
      <c r="V403" s="9"/>
      <c r="W403" s="9"/>
      <c r="X403" s="9"/>
      <c r="Y403" s="9"/>
    </row>
    <row r="404" ht="15.75" customHeight="1">
      <c r="A404" s="17"/>
      <c r="B404" s="17"/>
      <c r="C404" s="19"/>
      <c r="D404" s="19"/>
      <c r="E404" s="19"/>
      <c r="F404" s="19"/>
      <c r="G404" s="19"/>
      <c r="H404" s="19"/>
      <c r="I404" s="19"/>
      <c r="J404" s="19"/>
      <c r="K404" s="19"/>
      <c r="L404" s="22"/>
      <c r="M404" s="22"/>
      <c r="N404" s="9"/>
      <c r="O404" s="9"/>
      <c r="P404" s="9"/>
      <c r="Q404" s="9"/>
      <c r="R404" s="9"/>
      <c r="S404" s="9"/>
      <c r="T404" s="9"/>
      <c r="U404" s="9"/>
      <c r="V404" s="9"/>
      <c r="W404" s="9"/>
      <c r="X404" s="9"/>
      <c r="Y404" s="9"/>
    </row>
    <row r="405" ht="15.75" customHeight="1">
      <c r="A405" s="17"/>
      <c r="B405" s="17"/>
      <c r="C405" s="19"/>
      <c r="D405" s="19"/>
      <c r="E405" s="19"/>
      <c r="F405" s="19"/>
      <c r="G405" s="19"/>
      <c r="H405" s="19"/>
      <c r="I405" s="19"/>
      <c r="J405" s="19"/>
      <c r="K405" s="19"/>
      <c r="L405" s="22"/>
      <c r="M405" s="22"/>
      <c r="N405" s="9"/>
      <c r="O405" s="9"/>
      <c r="P405" s="9"/>
      <c r="Q405" s="9"/>
      <c r="R405" s="9"/>
      <c r="S405" s="9"/>
      <c r="T405" s="9"/>
      <c r="U405" s="9"/>
      <c r="V405" s="9"/>
      <c r="W405" s="9"/>
      <c r="X405" s="9"/>
      <c r="Y405" s="9"/>
    </row>
    <row r="406" ht="15.75" customHeight="1">
      <c r="A406" s="17"/>
      <c r="B406" s="17"/>
      <c r="C406" s="19"/>
      <c r="D406" s="19"/>
      <c r="E406" s="19"/>
      <c r="F406" s="19"/>
      <c r="G406" s="19"/>
      <c r="H406" s="19"/>
      <c r="I406" s="19"/>
      <c r="J406" s="19"/>
      <c r="K406" s="19"/>
      <c r="L406" s="22"/>
      <c r="M406" s="22"/>
      <c r="N406" s="9"/>
      <c r="O406" s="9"/>
      <c r="P406" s="9"/>
      <c r="Q406" s="9"/>
      <c r="R406" s="9"/>
      <c r="S406" s="9"/>
      <c r="T406" s="9"/>
      <c r="U406" s="9"/>
      <c r="V406" s="9"/>
      <c r="W406" s="9"/>
      <c r="X406" s="9"/>
      <c r="Y406" s="9"/>
    </row>
    <row r="407" ht="15.75" customHeight="1">
      <c r="A407" s="17"/>
      <c r="B407" s="17"/>
      <c r="C407" s="19"/>
      <c r="D407" s="19"/>
      <c r="E407" s="19"/>
      <c r="F407" s="19"/>
      <c r="G407" s="19"/>
      <c r="H407" s="19"/>
      <c r="I407" s="19"/>
      <c r="J407" s="19"/>
      <c r="K407" s="19"/>
      <c r="L407" s="22"/>
      <c r="M407" s="22"/>
      <c r="N407" s="9"/>
      <c r="O407" s="9"/>
      <c r="P407" s="9"/>
      <c r="Q407" s="9"/>
      <c r="R407" s="9"/>
      <c r="S407" s="9"/>
      <c r="T407" s="9"/>
      <c r="U407" s="9"/>
      <c r="V407" s="9"/>
      <c r="W407" s="9"/>
      <c r="X407" s="9"/>
      <c r="Y407" s="9"/>
    </row>
    <row r="408" ht="15.75" customHeight="1">
      <c r="A408" s="17"/>
      <c r="B408" s="17"/>
      <c r="C408" s="19"/>
      <c r="D408" s="19"/>
      <c r="E408" s="19"/>
      <c r="F408" s="19"/>
      <c r="G408" s="19"/>
      <c r="H408" s="19"/>
      <c r="I408" s="19"/>
      <c r="J408" s="19"/>
      <c r="K408" s="19"/>
      <c r="L408" s="22"/>
      <c r="M408" s="22"/>
      <c r="N408" s="9"/>
      <c r="O408" s="9"/>
      <c r="P408" s="9"/>
      <c r="Q408" s="9"/>
      <c r="R408" s="9"/>
      <c r="S408" s="9"/>
      <c r="T408" s="9"/>
      <c r="U408" s="9"/>
      <c r="V408" s="9"/>
      <c r="W408" s="9"/>
      <c r="X408" s="9"/>
      <c r="Y408" s="9"/>
    </row>
    <row r="409" ht="15.75" customHeight="1">
      <c r="A409" s="17"/>
      <c r="B409" s="17"/>
      <c r="C409" s="19"/>
      <c r="D409" s="19"/>
      <c r="E409" s="19"/>
      <c r="F409" s="19"/>
      <c r="G409" s="19"/>
      <c r="H409" s="19"/>
      <c r="I409" s="19"/>
      <c r="J409" s="19"/>
      <c r="K409" s="19"/>
      <c r="L409" s="22"/>
      <c r="M409" s="22"/>
      <c r="N409" s="9"/>
      <c r="O409" s="9"/>
      <c r="P409" s="9"/>
      <c r="Q409" s="9"/>
      <c r="R409" s="9"/>
      <c r="S409" s="9"/>
      <c r="T409" s="9"/>
      <c r="U409" s="9"/>
      <c r="V409" s="9"/>
      <c r="W409" s="9"/>
      <c r="X409" s="9"/>
      <c r="Y409" s="9"/>
    </row>
    <row r="410" ht="15.75" customHeight="1">
      <c r="A410" s="17"/>
      <c r="B410" s="17"/>
      <c r="C410" s="19"/>
      <c r="D410" s="19"/>
      <c r="E410" s="19"/>
      <c r="F410" s="19"/>
      <c r="G410" s="19"/>
      <c r="H410" s="19"/>
      <c r="I410" s="19"/>
      <c r="J410" s="19"/>
      <c r="K410" s="19"/>
      <c r="L410" s="22"/>
      <c r="M410" s="22"/>
      <c r="N410" s="9"/>
      <c r="O410" s="9"/>
      <c r="P410" s="9"/>
      <c r="Q410" s="9"/>
      <c r="R410" s="9"/>
      <c r="S410" s="9"/>
      <c r="T410" s="9"/>
      <c r="U410" s="9"/>
      <c r="V410" s="9"/>
      <c r="W410" s="9"/>
      <c r="X410" s="9"/>
      <c r="Y410" s="9"/>
    </row>
    <row r="411" ht="15.75" customHeight="1">
      <c r="A411" s="17"/>
      <c r="B411" s="17"/>
      <c r="C411" s="19"/>
      <c r="D411" s="19"/>
      <c r="E411" s="19"/>
      <c r="F411" s="19"/>
      <c r="G411" s="19"/>
      <c r="H411" s="19"/>
      <c r="I411" s="19"/>
      <c r="J411" s="19"/>
      <c r="K411" s="19"/>
      <c r="L411" s="22"/>
      <c r="M411" s="22"/>
      <c r="N411" s="9"/>
      <c r="O411" s="9"/>
      <c r="P411" s="9"/>
      <c r="Q411" s="9"/>
      <c r="R411" s="9"/>
      <c r="S411" s="9"/>
      <c r="T411" s="9"/>
      <c r="U411" s="9"/>
      <c r="V411" s="9"/>
      <c r="W411" s="9"/>
      <c r="X411" s="9"/>
      <c r="Y411" s="9"/>
    </row>
    <row r="412" ht="15.75" customHeight="1">
      <c r="A412" s="17"/>
      <c r="B412" s="17"/>
      <c r="C412" s="19"/>
      <c r="D412" s="19"/>
      <c r="E412" s="19"/>
      <c r="F412" s="19"/>
      <c r="G412" s="19"/>
      <c r="H412" s="19"/>
      <c r="I412" s="19"/>
      <c r="J412" s="19"/>
      <c r="K412" s="19"/>
      <c r="L412" s="22"/>
      <c r="M412" s="22"/>
      <c r="N412" s="9"/>
      <c r="O412" s="9"/>
      <c r="P412" s="9"/>
      <c r="Q412" s="9"/>
      <c r="R412" s="9"/>
      <c r="S412" s="9"/>
      <c r="T412" s="9"/>
      <c r="U412" s="9"/>
      <c r="V412" s="9"/>
      <c r="W412" s="9"/>
      <c r="X412" s="9"/>
      <c r="Y412" s="9"/>
    </row>
    <row r="413" ht="15.75" customHeight="1">
      <c r="A413" s="17"/>
      <c r="B413" s="17"/>
      <c r="C413" s="19"/>
      <c r="D413" s="19"/>
      <c r="E413" s="19"/>
      <c r="F413" s="19"/>
      <c r="G413" s="19"/>
      <c r="H413" s="19"/>
      <c r="I413" s="19"/>
      <c r="J413" s="19"/>
      <c r="K413" s="19"/>
      <c r="L413" s="22"/>
      <c r="M413" s="22"/>
      <c r="N413" s="9"/>
      <c r="O413" s="9"/>
      <c r="P413" s="9"/>
      <c r="Q413" s="9"/>
      <c r="R413" s="9"/>
      <c r="S413" s="9"/>
      <c r="T413" s="9"/>
      <c r="U413" s="9"/>
      <c r="V413" s="9"/>
      <c r="W413" s="9"/>
      <c r="X413" s="9"/>
      <c r="Y413" s="9"/>
    </row>
    <row r="414" ht="15.75" customHeight="1">
      <c r="A414" s="17"/>
      <c r="B414" s="17"/>
      <c r="C414" s="19"/>
      <c r="D414" s="19"/>
      <c r="E414" s="19"/>
      <c r="F414" s="19"/>
      <c r="G414" s="19"/>
      <c r="H414" s="19"/>
      <c r="I414" s="19"/>
      <c r="J414" s="19"/>
      <c r="K414" s="19"/>
      <c r="L414" s="22"/>
      <c r="M414" s="22"/>
      <c r="N414" s="9"/>
      <c r="O414" s="9"/>
      <c r="P414" s="9"/>
      <c r="Q414" s="9"/>
      <c r="R414" s="9"/>
      <c r="S414" s="9"/>
      <c r="T414" s="9"/>
      <c r="U414" s="9"/>
      <c r="V414" s="9"/>
      <c r="W414" s="9"/>
      <c r="X414" s="9"/>
      <c r="Y414" s="9"/>
    </row>
    <row r="415" ht="15.75" customHeight="1">
      <c r="A415" s="17"/>
      <c r="B415" s="17"/>
      <c r="C415" s="19"/>
      <c r="D415" s="19"/>
      <c r="E415" s="19"/>
      <c r="F415" s="19"/>
      <c r="G415" s="19"/>
      <c r="H415" s="19"/>
      <c r="I415" s="19"/>
      <c r="J415" s="19"/>
      <c r="K415" s="19"/>
      <c r="L415" s="22"/>
      <c r="M415" s="22"/>
      <c r="N415" s="9"/>
      <c r="O415" s="9"/>
      <c r="P415" s="9"/>
      <c r="Q415" s="9"/>
      <c r="R415" s="9"/>
      <c r="S415" s="9"/>
      <c r="T415" s="9"/>
      <c r="U415" s="9"/>
      <c r="V415" s="9"/>
      <c r="W415" s="9"/>
      <c r="X415" s="9"/>
      <c r="Y415" s="9"/>
    </row>
    <row r="416" ht="15.75" customHeight="1">
      <c r="A416" s="17"/>
      <c r="B416" s="17"/>
      <c r="C416" s="19"/>
      <c r="D416" s="19"/>
      <c r="E416" s="19"/>
      <c r="F416" s="19"/>
      <c r="G416" s="19"/>
      <c r="H416" s="19"/>
      <c r="I416" s="19"/>
      <c r="J416" s="19"/>
      <c r="K416" s="19"/>
      <c r="L416" s="22"/>
      <c r="M416" s="22"/>
      <c r="N416" s="9"/>
      <c r="O416" s="9"/>
      <c r="P416" s="9"/>
      <c r="Q416" s="9"/>
      <c r="R416" s="9"/>
      <c r="S416" s="9"/>
      <c r="T416" s="9"/>
      <c r="U416" s="9"/>
      <c r="V416" s="9"/>
      <c r="W416" s="9"/>
      <c r="X416" s="9"/>
      <c r="Y416" s="9"/>
    </row>
    <row r="417" ht="15.75" customHeight="1">
      <c r="A417" s="17"/>
      <c r="B417" s="17"/>
      <c r="C417" s="19"/>
      <c r="D417" s="19"/>
      <c r="E417" s="19"/>
      <c r="F417" s="19"/>
      <c r="G417" s="19"/>
      <c r="H417" s="19"/>
      <c r="I417" s="19"/>
      <c r="J417" s="19"/>
      <c r="K417" s="19"/>
      <c r="L417" s="22"/>
      <c r="M417" s="22"/>
      <c r="N417" s="9"/>
      <c r="O417" s="9"/>
      <c r="P417" s="9"/>
      <c r="Q417" s="9"/>
      <c r="R417" s="9"/>
      <c r="S417" s="9"/>
      <c r="T417" s="9"/>
      <c r="U417" s="9"/>
      <c r="V417" s="9"/>
      <c r="W417" s="9"/>
      <c r="X417" s="9"/>
      <c r="Y417" s="9"/>
    </row>
    <row r="418" ht="15.75" customHeight="1">
      <c r="A418" s="17"/>
      <c r="B418" s="17"/>
      <c r="C418" s="19"/>
      <c r="D418" s="19"/>
      <c r="E418" s="19"/>
      <c r="F418" s="19"/>
      <c r="G418" s="19"/>
      <c r="H418" s="19"/>
      <c r="I418" s="19"/>
      <c r="J418" s="19"/>
      <c r="K418" s="19"/>
      <c r="L418" s="22"/>
      <c r="M418" s="22"/>
      <c r="N418" s="9"/>
      <c r="O418" s="9"/>
      <c r="P418" s="9"/>
      <c r="Q418" s="9"/>
      <c r="R418" s="9"/>
      <c r="S418" s="9"/>
      <c r="T418" s="9"/>
      <c r="U418" s="9"/>
      <c r="V418" s="9"/>
      <c r="W418" s="9"/>
      <c r="X418" s="9"/>
      <c r="Y418" s="9"/>
    </row>
    <row r="419" ht="15.75" customHeight="1">
      <c r="A419" s="17"/>
      <c r="B419" s="17"/>
      <c r="C419" s="19"/>
      <c r="D419" s="19"/>
      <c r="E419" s="19"/>
      <c r="F419" s="19"/>
      <c r="G419" s="19"/>
      <c r="H419" s="19"/>
      <c r="I419" s="19"/>
      <c r="J419" s="19"/>
      <c r="K419" s="19"/>
      <c r="L419" s="22"/>
      <c r="M419" s="22"/>
      <c r="N419" s="9"/>
      <c r="O419" s="9"/>
      <c r="P419" s="9"/>
      <c r="Q419" s="9"/>
      <c r="R419" s="9"/>
      <c r="S419" s="9"/>
      <c r="T419" s="9"/>
      <c r="U419" s="9"/>
      <c r="V419" s="9"/>
      <c r="W419" s="9"/>
      <c r="X419" s="9"/>
      <c r="Y419" s="9"/>
    </row>
    <row r="420" ht="15.75" customHeight="1">
      <c r="A420" s="17"/>
      <c r="B420" s="17"/>
      <c r="C420" s="19"/>
      <c r="D420" s="19"/>
      <c r="E420" s="19"/>
      <c r="F420" s="19"/>
      <c r="G420" s="19"/>
      <c r="H420" s="19"/>
      <c r="I420" s="19"/>
      <c r="J420" s="19"/>
      <c r="K420" s="19"/>
      <c r="L420" s="22"/>
      <c r="M420" s="22"/>
      <c r="N420" s="9"/>
      <c r="O420" s="9"/>
      <c r="P420" s="9"/>
      <c r="Q420" s="9"/>
      <c r="R420" s="9"/>
      <c r="S420" s="9"/>
      <c r="T420" s="9"/>
      <c r="U420" s="9"/>
      <c r="V420" s="9"/>
      <c r="W420" s="9"/>
      <c r="X420" s="9"/>
      <c r="Y420" s="9"/>
    </row>
    <row r="421" ht="15.75" customHeight="1">
      <c r="A421" s="17"/>
      <c r="B421" s="17"/>
      <c r="C421" s="19"/>
      <c r="D421" s="19"/>
      <c r="E421" s="19"/>
      <c r="F421" s="19"/>
      <c r="G421" s="19"/>
      <c r="H421" s="19"/>
      <c r="I421" s="19"/>
      <c r="J421" s="19"/>
      <c r="K421" s="19"/>
      <c r="L421" s="22"/>
      <c r="M421" s="22"/>
      <c r="N421" s="9"/>
      <c r="O421" s="9"/>
      <c r="P421" s="9"/>
      <c r="Q421" s="9"/>
      <c r="R421" s="9"/>
      <c r="S421" s="9"/>
      <c r="T421" s="9"/>
      <c r="U421" s="9"/>
      <c r="V421" s="9"/>
      <c r="W421" s="9"/>
      <c r="X421" s="9"/>
      <c r="Y421" s="9"/>
    </row>
    <row r="422" ht="15.75" customHeight="1">
      <c r="A422" s="17"/>
      <c r="B422" s="17"/>
      <c r="C422" s="19"/>
      <c r="D422" s="19"/>
      <c r="E422" s="19"/>
      <c r="F422" s="19"/>
      <c r="G422" s="19"/>
      <c r="H422" s="19"/>
      <c r="I422" s="19"/>
      <c r="J422" s="19"/>
      <c r="K422" s="19"/>
      <c r="L422" s="22"/>
      <c r="M422" s="22"/>
      <c r="N422" s="9"/>
      <c r="O422" s="9"/>
      <c r="P422" s="9"/>
      <c r="Q422" s="9"/>
      <c r="R422" s="9"/>
      <c r="S422" s="9"/>
      <c r="T422" s="9"/>
      <c r="U422" s="9"/>
      <c r="V422" s="9"/>
      <c r="W422" s="9"/>
      <c r="X422" s="9"/>
      <c r="Y422" s="9"/>
    </row>
    <row r="423" ht="15.75" customHeight="1">
      <c r="A423" s="17"/>
      <c r="B423" s="17"/>
      <c r="C423" s="19"/>
      <c r="D423" s="19"/>
      <c r="E423" s="19"/>
      <c r="F423" s="19"/>
      <c r="G423" s="19"/>
      <c r="H423" s="19"/>
      <c r="I423" s="19"/>
      <c r="J423" s="19"/>
      <c r="K423" s="19"/>
      <c r="L423" s="22"/>
      <c r="M423" s="22"/>
      <c r="N423" s="9"/>
      <c r="O423" s="9"/>
      <c r="P423" s="9"/>
      <c r="Q423" s="9"/>
      <c r="R423" s="9"/>
      <c r="S423" s="9"/>
      <c r="T423" s="9"/>
      <c r="U423" s="9"/>
      <c r="V423" s="9"/>
      <c r="W423" s="9"/>
      <c r="X423" s="9"/>
      <c r="Y423" s="9"/>
    </row>
    <row r="424" ht="15.75" customHeight="1">
      <c r="A424" s="17"/>
      <c r="B424" s="17"/>
      <c r="C424" s="19"/>
      <c r="D424" s="19"/>
      <c r="E424" s="19"/>
      <c r="F424" s="19"/>
      <c r="G424" s="19"/>
      <c r="H424" s="19"/>
      <c r="I424" s="19"/>
      <c r="J424" s="19"/>
      <c r="K424" s="19"/>
      <c r="L424" s="22"/>
      <c r="M424" s="22"/>
      <c r="N424" s="9"/>
      <c r="O424" s="9"/>
      <c r="P424" s="9"/>
      <c r="Q424" s="9"/>
      <c r="R424" s="9"/>
      <c r="S424" s="9"/>
      <c r="T424" s="9"/>
      <c r="U424" s="9"/>
      <c r="V424" s="9"/>
      <c r="W424" s="9"/>
      <c r="X424" s="9"/>
      <c r="Y424" s="9"/>
    </row>
    <row r="425" ht="15.75" customHeight="1">
      <c r="A425" s="17"/>
      <c r="B425" s="17"/>
      <c r="C425" s="19"/>
      <c r="D425" s="19"/>
      <c r="E425" s="19"/>
      <c r="F425" s="19"/>
      <c r="G425" s="19"/>
      <c r="H425" s="19"/>
      <c r="I425" s="19"/>
      <c r="J425" s="19"/>
      <c r="K425" s="19"/>
      <c r="L425" s="22"/>
      <c r="M425" s="22"/>
      <c r="N425" s="9"/>
      <c r="O425" s="9"/>
      <c r="P425" s="9"/>
      <c r="Q425" s="9"/>
      <c r="R425" s="9"/>
      <c r="S425" s="9"/>
      <c r="T425" s="9"/>
      <c r="U425" s="9"/>
      <c r="V425" s="9"/>
      <c r="W425" s="9"/>
      <c r="X425" s="9"/>
      <c r="Y425" s="9"/>
    </row>
    <row r="426" ht="15.75" customHeight="1">
      <c r="A426" s="17"/>
      <c r="B426" s="17"/>
      <c r="C426" s="19"/>
      <c r="D426" s="19"/>
      <c r="E426" s="19"/>
      <c r="F426" s="19"/>
      <c r="G426" s="19"/>
      <c r="H426" s="19"/>
      <c r="I426" s="19"/>
      <c r="J426" s="19"/>
      <c r="K426" s="19"/>
      <c r="L426" s="22"/>
      <c r="M426" s="22"/>
      <c r="N426" s="9"/>
      <c r="O426" s="9"/>
      <c r="P426" s="9"/>
      <c r="Q426" s="9"/>
      <c r="R426" s="9"/>
      <c r="S426" s="9"/>
      <c r="T426" s="9"/>
      <c r="U426" s="9"/>
      <c r="V426" s="9"/>
      <c r="W426" s="9"/>
      <c r="X426" s="9"/>
      <c r="Y426" s="9"/>
    </row>
    <row r="427" ht="15.75" customHeight="1">
      <c r="A427" s="17"/>
      <c r="B427" s="17"/>
      <c r="C427" s="19"/>
      <c r="D427" s="19"/>
      <c r="E427" s="19"/>
      <c r="F427" s="19"/>
      <c r="G427" s="19"/>
      <c r="H427" s="19"/>
      <c r="I427" s="19"/>
      <c r="J427" s="19"/>
      <c r="K427" s="19"/>
      <c r="L427" s="22"/>
      <c r="M427" s="22"/>
      <c r="N427" s="9"/>
      <c r="O427" s="9"/>
      <c r="P427" s="9"/>
      <c r="Q427" s="9"/>
      <c r="R427" s="9"/>
      <c r="S427" s="9"/>
      <c r="T427" s="9"/>
      <c r="U427" s="9"/>
      <c r="V427" s="9"/>
      <c r="W427" s="9"/>
      <c r="X427" s="9"/>
      <c r="Y427" s="9"/>
    </row>
    <row r="428" ht="15.75" customHeight="1">
      <c r="A428" s="17"/>
      <c r="B428" s="17"/>
      <c r="C428" s="19"/>
      <c r="D428" s="19"/>
      <c r="E428" s="19"/>
      <c r="F428" s="19"/>
      <c r="G428" s="19"/>
      <c r="H428" s="19"/>
      <c r="I428" s="19"/>
      <c r="J428" s="19"/>
      <c r="K428" s="19"/>
      <c r="L428" s="22"/>
      <c r="M428" s="22"/>
      <c r="N428" s="9"/>
      <c r="O428" s="9"/>
      <c r="P428" s="9"/>
      <c r="Q428" s="9"/>
      <c r="R428" s="9"/>
      <c r="S428" s="9"/>
      <c r="T428" s="9"/>
      <c r="U428" s="9"/>
      <c r="V428" s="9"/>
      <c r="W428" s="9"/>
      <c r="X428" s="9"/>
      <c r="Y428" s="9"/>
    </row>
    <row r="429" ht="15.75" customHeight="1">
      <c r="A429" s="17"/>
      <c r="B429" s="17"/>
      <c r="C429" s="19"/>
      <c r="D429" s="19"/>
      <c r="E429" s="19"/>
      <c r="F429" s="19"/>
      <c r="G429" s="19"/>
      <c r="H429" s="19"/>
      <c r="I429" s="19"/>
      <c r="J429" s="19"/>
      <c r="K429" s="19"/>
      <c r="L429" s="22"/>
      <c r="M429" s="22"/>
      <c r="N429" s="9"/>
      <c r="O429" s="9"/>
      <c r="P429" s="9"/>
      <c r="Q429" s="9"/>
      <c r="R429" s="9"/>
      <c r="S429" s="9"/>
      <c r="T429" s="9"/>
      <c r="U429" s="9"/>
      <c r="V429" s="9"/>
      <c r="W429" s="9"/>
      <c r="X429" s="9"/>
      <c r="Y429" s="9"/>
    </row>
    <row r="430" ht="15.75" customHeight="1">
      <c r="A430" s="17"/>
      <c r="B430" s="17"/>
      <c r="C430" s="19"/>
      <c r="D430" s="19"/>
      <c r="E430" s="19"/>
      <c r="F430" s="19"/>
      <c r="G430" s="19"/>
      <c r="H430" s="19"/>
      <c r="I430" s="19"/>
      <c r="J430" s="19"/>
      <c r="K430" s="19"/>
      <c r="L430" s="22"/>
      <c r="M430" s="22"/>
      <c r="N430" s="9"/>
      <c r="O430" s="9"/>
      <c r="P430" s="9"/>
      <c r="Q430" s="9"/>
      <c r="R430" s="9"/>
      <c r="S430" s="9"/>
      <c r="T430" s="9"/>
      <c r="U430" s="9"/>
      <c r="V430" s="9"/>
      <c r="W430" s="9"/>
      <c r="X430" s="9"/>
      <c r="Y430" s="9"/>
    </row>
    <row r="431" ht="15.75" customHeight="1">
      <c r="A431" s="17"/>
      <c r="B431" s="17"/>
      <c r="C431" s="19"/>
      <c r="D431" s="19"/>
      <c r="E431" s="19"/>
      <c r="F431" s="19"/>
      <c r="G431" s="19"/>
      <c r="H431" s="19"/>
      <c r="I431" s="19"/>
      <c r="J431" s="19"/>
      <c r="K431" s="19"/>
      <c r="L431" s="22"/>
      <c r="M431" s="22"/>
      <c r="N431" s="9"/>
      <c r="O431" s="9"/>
      <c r="P431" s="9"/>
      <c r="Q431" s="9"/>
      <c r="R431" s="9"/>
      <c r="S431" s="9"/>
      <c r="T431" s="9"/>
      <c r="U431" s="9"/>
      <c r="V431" s="9"/>
      <c r="W431" s="9"/>
      <c r="X431" s="9"/>
      <c r="Y431" s="9"/>
    </row>
    <row r="432" ht="15.75" customHeight="1">
      <c r="A432" s="17"/>
      <c r="B432" s="17"/>
      <c r="C432" s="19"/>
      <c r="D432" s="19"/>
      <c r="E432" s="19"/>
      <c r="F432" s="19"/>
      <c r="G432" s="19"/>
      <c r="H432" s="19"/>
      <c r="I432" s="19"/>
      <c r="J432" s="19"/>
      <c r="K432" s="19"/>
      <c r="L432" s="22"/>
      <c r="M432" s="22"/>
      <c r="N432" s="9"/>
      <c r="O432" s="9"/>
      <c r="P432" s="9"/>
      <c r="Q432" s="9"/>
      <c r="R432" s="9"/>
      <c r="S432" s="9"/>
      <c r="T432" s="9"/>
      <c r="U432" s="9"/>
      <c r="V432" s="9"/>
      <c r="W432" s="9"/>
      <c r="X432" s="9"/>
      <c r="Y432" s="9"/>
    </row>
    <row r="433" ht="15.75" customHeight="1">
      <c r="A433" s="17"/>
      <c r="B433" s="17"/>
      <c r="C433" s="19"/>
      <c r="D433" s="19"/>
      <c r="E433" s="19"/>
      <c r="F433" s="19"/>
      <c r="G433" s="19"/>
      <c r="H433" s="19"/>
      <c r="I433" s="19"/>
      <c r="J433" s="19"/>
      <c r="K433" s="19"/>
      <c r="L433" s="22"/>
      <c r="M433" s="22"/>
      <c r="N433" s="9"/>
      <c r="O433" s="9"/>
      <c r="P433" s="9"/>
      <c r="Q433" s="9"/>
      <c r="R433" s="9"/>
      <c r="S433" s="9"/>
      <c r="T433" s="9"/>
      <c r="U433" s="9"/>
      <c r="V433" s="9"/>
      <c r="W433" s="9"/>
      <c r="X433" s="9"/>
      <c r="Y433" s="9"/>
    </row>
    <row r="434" ht="15.75" customHeight="1">
      <c r="A434" s="17"/>
      <c r="B434" s="17"/>
      <c r="C434" s="19"/>
      <c r="D434" s="19"/>
      <c r="E434" s="19"/>
      <c r="F434" s="19"/>
      <c r="G434" s="19"/>
      <c r="H434" s="19"/>
      <c r="I434" s="19"/>
      <c r="J434" s="19"/>
      <c r="K434" s="19"/>
      <c r="L434" s="22"/>
      <c r="M434" s="22"/>
      <c r="N434" s="9"/>
      <c r="O434" s="9"/>
      <c r="P434" s="9"/>
      <c r="Q434" s="9"/>
      <c r="R434" s="9"/>
      <c r="S434" s="9"/>
      <c r="T434" s="9"/>
      <c r="U434" s="9"/>
      <c r="V434" s="9"/>
      <c r="W434" s="9"/>
      <c r="X434" s="9"/>
      <c r="Y434" s="9"/>
    </row>
    <row r="435" ht="15.75" customHeight="1">
      <c r="A435" s="17"/>
      <c r="B435" s="17"/>
      <c r="C435" s="19"/>
      <c r="D435" s="19"/>
      <c r="E435" s="19"/>
      <c r="F435" s="19"/>
      <c r="G435" s="19"/>
      <c r="H435" s="19"/>
      <c r="I435" s="19"/>
      <c r="J435" s="19"/>
      <c r="K435" s="19"/>
      <c r="L435" s="22"/>
      <c r="M435" s="22"/>
      <c r="N435" s="9"/>
      <c r="O435" s="9"/>
      <c r="P435" s="9"/>
      <c r="Q435" s="9"/>
      <c r="R435" s="9"/>
      <c r="S435" s="9"/>
      <c r="T435" s="9"/>
      <c r="U435" s="9"/>
      <c r="V435" s="9"/>
      <c r="W435" s="9"/>
      <c r="X435" s="9"/>
      <c r="Y435" s="9"/>
    </row>
    <row r="436" ht="15.75" customHeight="1">
      <c r="A436" s="17"/>
      <c r="B436" s="17"/>
      <c r="C436" s="19"/>
      <c r="D436" s="19"/>
      <c r="E436" s="19"/>
      <c r="F436" s="19"/>
      <c r="G436" s="19"/>
      <c r="H436" s="19"/>
      <c r="I436" s="19"/>
      <c r="J436" s="19"/>
      <c r="K436" s="19"/>
      <c r="L436" s="22"/>
      <c r="M436" s="22"/>
      <c r="N436" s="9"/>
      <c r="O436" s="9"/>
      <c r="P436" s="9"/>
      <c r="Q436" s="9"/>
      <c r="R436" s="9"/>
      <c r="S436" s="9"/>
      <c r="T436" s="9"/>
      <c r="U436" s="9"/>
      <c r="V436" s="9"/>
      <c r="W436" s="9"/>
      <c r="X436" s="9"/>
      <c r="Y436" s="9"/>
    </row>
    <row r="437" ht="15.75" customHeight="1">
      <c r="A437" s="17"/>
      <c r="B437" s="17"/>
      <c r="C437" s="19"/>
      <c r="D437" s="19"/>
      <c r="E437" s="19"/>
      <c r="F437" s="19"/>
      <c r="G437" s="19"/>
      <c r="H437" s="19"/>
      <c r="I437" s="19"/>
      <c r="J437" s="19"/>
      <c r="K437" s="19"/>
      <c r="L437" s="22"/>
      <c r="M437" s="22"/>
      <c r="N437" s="9"/>
      <c r="O437" s="9"/>
      <c r="P437" s="9"/>
      <c r="Q437" s="9"/>
      <c r="R437" s="9"/>
      <c r="S437" s="9"/>
      <c r="T437" s="9"/>
      <c r="U437" s="9"/>
      <c r="V437" s="9"/>
      <c r="W437" s="9"/>
      <c r="X437" s="9"/>
      <c r="Y437" s="9"/>
    </row>
    <row r="438" ht="15.75" customHeight="1">
      <c r="A438" s="17"/>
      <c r="B438" s="17"/>
      <c r="C438" s="19"/>
      <c r="D438" s="19"/>
      <c r="E438" s="19"/>
      <c r="F438" s="19"/>
      <c r="G438" s="19"/>
      <c r="H438" s="19"/>
      <c r="I438" s="19"/>
      <c r="J438" s="19"/>
      <c r="K438" s="19"/>
      <c r="L438" s="22"/>
      <c r="M438" s="22"/>
      <c r="N438" s="9"/>
      <c r="O438" s="9"/>
      <c r="P438" s="9"/>
      <c r="Q438" s="9"/>
      <c r="R438" s="9"/>
      <c r="S438" s="9"/>
      <c r="T438" s="9"/>
      <c r="U438" s="9"/>
      <c r="V438" s="9"/>
      <c r="W438" s="9"/>
      <c r="X438" s="9"/>
      <c r="Y438" s="9"/>
    </row>
    <row r="439" ht="15.75" customHeight="1">
      <c r="A439" s="17"/>
      <c r="B439" s="17"/>
      <c r="C439" s="19"/>
      <c r="D439" s="19"/>
      <c r="E439" s="19"/>
      <c r="F439" s="19"/>
      <c r="G439" s="19"/>
      <c r="H439" s="19"/>
      <c r="I439" s="19"/>
      <c r="J439" s="19"/>
      <c r="K439" s="19"/>
      <c r="L439" s="22"/>
      <c r="M439" s="22"/>
      <c r="N439" s="9"/>
      <c r="O439" s="9"/>
      <c r="P439" s="9"/>
      <c r="Q439" s="9"/>
      <c r="R439" s="9"/>
      <c r="S439" s="9"/>
      <c r="T439" s="9"/>
      <c r="U439" s="9"/>
      <c r="V439" s="9"/>
      <c r="W439" s="9"/>
      <c r="X439" s="9"/>
      <c r="Y439" s="9"/>
    </row>
    <row r="440" ht="15.75" customHeight="1">
      <c r="A440" s="17"/>
      <c r="B440" s="17"/>
      <c r="C440" s="19"/>
      <c r="D440" s="19"/>
      <c r="E440" s="19"/>
      <c r="F440" s="19"/>
      <c r="G440" s="19"/>
      <c r="H440" s="19"/>
      <c r="I440" s="19"/>
      <c r="J440" s="19"/>
      <c r="K440" s="19"/>
      <c r="L440" s="22"/>
      <c r="M440" s="22"/>
      <c r="N440" s="9"/>
      <c r="O440" s="9"/>
      <c r="P440" s="9"/>
      <c r="Q440" s="9"/>
      <c r="R440" s="9"/>
      <c r="S440" s="9"/>
      <c r="T440" s="9"/>
      <c r="U440" s="9"/>
      <c r="V440" s="9"/>
      <c r="W440" s="9"/>
      <c r="X440" s="9"/>
      <c r="Y440" s="9"/>
    </row>
    <row r="441" ht="15.75" customHeight="1">
      <c r="A441" s="17"/>
      <c r="B441" s="17"/>
      <c r="C441" s="19"/>
      <c r="D441" s="19"/>
      <c r="E441" s="19"/>
      <c r="F441" s="19"/>
      <c r="G441" s="19"/>
      <c r="H441" s="19"/>
      <c r="I441" s="19"/>
      <c r="J441" s="19"/>
      <c r="K441" s="19"/>
      <c r="L441" s="22"/>
      <c r="M441" s="22"/>
      <c r="N441" s="9"/>
      <c r="O441" s="9"/>
      <c r="P441" s="9"/>
      <c r="Q441" s="9"/>
      <c r="R441" s="9"/>
      <c r="S441" s="9"/>
      <c r="T441" s="9"/>
      <c r="U441" s="9"/>
      <c r="V441" s="9"/>
      <c r="W441" s="9"/>
      <c r="X441" s="9"/>
      <c r="Y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autoFilter ref="$A$4:$P$241">
    <filterColumn colId="14">
      <filters>
        <filter val="Pesquisador 2"/>
      </filters>
    </filterColumn>
  </autoFilter>
  <mergeCells count="2">
    <mergeCell ref="B1:M1"/>
    <mergeCell ref="B2:M2"/>
  </mergeCells>
  <conditionalFormatting sqref="L5:L11 L13:L19 L21:L189 L191:L1000 M5:M1000">
    <cfRule type="cellIs" dxfId="0" priority="1" stopIfTrue="1" operator="equal">
      <formula>"Adriana"</formula>
    </cfRule>
  </conditionalFormatting>
  <conditionalFormatting sqref="L5:L11 L13:L19 L21:L189 L191:L1000 M5:M1000">
    <cfRule type="cellIs" dxfId="1" priority="2" stopIfTrue="1" operator="equal">
      <formula>"Marcelo"</formula>
    </cfRule>
  </conditionalFormatting>
  <conditionalFormatting sqref="L5:L11 L13:L19 L21:L189 L191:L1000 M5:M1000">
    <cfRule type="cellIs" dxfId="2" priority="3" stopIfTrue="1" operator="equal">
      <formula>"Maristela"</formula>
    </cfRule>
  </conditionalFormatting>
  <conditionalFormatting sqref="L5:L11 L13:L19 L21:L189 L191:L1000 M5:M1000">
    <cfRule type="cellIs" dxfId="3" priority="4" stopIfTrue="1" operator="equal">
      <formula>"Lanna"</formula>
    </cfRule>
  </conditionalFormatting>
  <dataValidations>
    <dataValidation type="list" allowBlank="1" sqref="M5:M7 M11:M21 M28:M75 M83:M99 M101:M968">
      <formula1>"Adriana,Marcelo,Lanna,Maristela"</formula1>
    </dataValidation>
    <dataValidation type="list" allowBlank="1" showErrorMessage="1" sqref="M8:M10 M22:M27 M76:M82 M100">
      <formula1>"Adriana,Marcelo,Lanna,Maristela"</formula1>
    </dataValidation>
    <dataValidation type="list" allowBlank="1" sqref="L5:L968">
      <formula1>"9–10 - A+ – Essencial - Incluir,7–8 - A – Alta aderência - Incluir,5–6 - B – Aderência moderada - Incluir para leitura completa,3–4 - C – Contribuição indireta - Avaliação do pesquisador,0–2 - D – Baixa aderência - Excluir"</formula1>
    </dataValidation>
    <dataValidation type="list" allowBlank="1" sqref="N5:P32 N33:O33 N34:P53 N54:O54 N55:P61 N62:O62 N63:P75 N76:O79 N80:P80 N81:O82 N83:P122 N123:O123 N124:P126 N127:O127 N128:P130 N131:O132 N133:P149 N150:O152 N153:P165 N166:O166 N167:P177 N178:O183 N184:P184 N185:O187 N188:P188 N189:O189 N190:P210 N211:O211 N212:P213 N214:O214 N216:P216">
      <formula1>"7–8 - A – Alta aderência - Incluir,9–10 - A+ – Essencial - Incluir,3–4 - C – Contribuição indireta - Avaliação do pesquisador,5–6 - B – Aderência moderada - Incluir para leitura completa,0–2 - D – Baixa aderência - Excluir"</formula1>
    </dataValidation>
    <dataValidation type="list" allowBlank="1" showErrorMessage="1" sqref="P33 P54 P62 P76:P79 P81:P82 P123 P127 P131:P132 P150:P152 P166 P178:P183 P185:P187 P189 P211 P214:P215 P217:P241">
      <formula1>"0–2 - D – Baixa aderência - Excluir,3–4 - C – Contribuição indireta - Avaliação do pesquisador,5–6 - B – Aderência moderada - Incluir para leitura completa,7–8 - A – Alta aderência - Incluir,9–10 - A+ – Essencial - Incluir"</formula1>
    </dataValidation>
  </dataValidations>
  <hyperlinks>
    <hyperlink r:id="rId1" ref="E20"/>
  </hyperlinks>
  <printOptions/>
  <pageMargins bottom="1.0" footer="0.0" header="0.0" left="0.75" right="0.75" top="1.0"/>
  <pageSetup scale="3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6" width="12.63"/>
  </cols>
  <sheetData>
    <row r="1" ht="15.75" customHeight="1">
      <c r="A1" s="3" t="str">
        <f>IFERROR(__xludf.DUMMYFUNCTION("QUERY('Protocolo - Extração de Dados'!M4:M1000, ""SELECT M, COUNT(M) WHERE M IS NOT NULL GROUP BY M LABEL M 'Pesquisador', COUNT(M) 'Quantidade'"", 1)"),"Pesquisador")</f>
        <v>Pesquisador</v>
      </c>
      <c r="B1" s="3" t="str">
        <f>IFERROR(__xludf.DUMMYFUNCTION("""COMPUTED_VALUE"""),"Quantidade")</f>
        <v>Quantidade</v>
      </c>
    </row>
    <row r="2" ht="15.75" customHeight="1">
      <c r="A2" s="5" t="str">
        <f>IFERROR(__xludf.DUMMYFUNCTION("""COMPUTED_VALUE"""),"Pesquisador 1")</f>
        <v>Pesquisador 1</v>
      </c>
      <c r="B2" s="5">
        <f>IFERROR(__xludf.DUMMYFUNCTION("""COMPUTED_VALUE"""),100.0)</f>
        <v>100</v>
      </c>
    </row>
    <row r="3" ht="15.75" customHeight="1">
      <c r="A3" s="5" t="str">
        <f>IFERROR(__xludf.DUMMYFUNCTION("""COMPUTED_VALUE"""),"Pesquisador 2")</f>
        <v>Pesquisador 2</v>
      </c>
      <c r="B3" s="5">
        <f>IFERROR(__xludf.DUMMYFUNCTION("""COMPUTED_VALUE"""),45.0)</f>
        <v>45</v>
      </c>
    </row>
    <row r="4" ht="15.75" customHeight="1">
      <c r="A4" s="5" t="str">
        <f>IFERROR(__xludf.DUMMYFUNCTION("""COMPUTED_VALUE"""),"Pesquisador 3")</f>
        <v>Pesquisador 3</v>
      </c>
      <c r="B4" s="5">
        <f>IFERROR(__xludf.DUMMYFUNCTION("""COMPUTED_VALUE"""),13.0)</f>
        <v>13</v>
      </c>
    </row>
    <row r="5" ht="15.75" customHeight="1">
      <c r="A5" s="5" t="str">
        <f>IFERROR(__xludf.DUMMYFUNCTION("""COMPUTED_VALUE"""),"Pesquisador 4")</f>
        <v>Pesquisador 4</v>
      </c>
      <c r="B5" s="5">
        <f>IFERROR(__xludf.DUMMYFUNCTION("""COMPUTED_VALUE"""),50.0)</f>
        <v>50</v>
      </c>
    </row>
    <row r="6" ht="15.75" customHeight="1">
      <c r="A6" s="9"/>
    </row>
    <row r="7" ht="15.75" customHeight="1">
      <c r="A7" s="9"/>
    </row>
    <row r="8" ht="15.75" customHeight="1">
      <c r="A8" s="9"/>
    </row>
    <row r="9" ht="15.75" customHeight="1">
      <c r="A9" s="9"/>
    </row>
    <row r="10" ht="15.75" customHeight="1">
      <c r="A10" s="9"/>
    </row>
    <row r="11" ht="15.75" customHeight="1">
      <c r="A11" s="9"/>
    </row>
    <row r="12" ht="15.75" customHeight="1">
      <c r="A12" s="9"/>
    </row>
    <row r="13" ht="15.75" customHeight="1">
      <c r="A13" s="9"/>
    </row>
    <row r="14" ht="15.75" customHeight="1">
      <c r="A14" s="9"/>
    </row>
    <row r="15" ht="15.75" customHeight="1">
      <c r="A15" s="9"/>
    </row>
    <row r="16" ht="15.75" customHeight="1">
      <c r="A16" s="9"/>
    </row>
    <row r="17" ht="15.75" customHeight="1">
      <c r="A17" s="9"/>
    </row>
    <row r="18" ht="15.75" customHeight="1">
      <c r="A18" s="9"/>
    </row>
    <row r="19" ht="15.75" customHeight="1">
      <c r="A19" s="9"/>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38"/>
    <col customWidth="1" min="2" max="6" width="12.63"/>
  </cols>
  <sheetData>
    <row r="1" ht="15.75" customHeight="1">
      <c r="A1" s="3" t="str">
        <f>IFERROR(__xludf.DUMMYFUNCTION("QUERY('Protocolo - Extração de Dados'!O4:O1000, ""SELECT O, COUNT(O) WHERE O IS NOT NULL GROUP BY O LABEL O 'Responsável - 2ª Revisão', COUNT(O) 'Quantidade'"", 1)"),"Responsável - 2ª Revisão")</f>
        <v>Responsável - 2ª Revisão</v>
      </c>
      <c r="B1" s="3" t="str">
        <f>IFERROR(__xludf.DUMMYFUNCTION("""COMPUTED_VALUE"""),"Quantidade")</f>
        <v>Quantidade</v>
      </c>
    </row>
    <row r="2" ht="15.75" customHeight="1">
      <c r="A2" s="5" t="str">
        <f>IFERROR(__xludf.DUMMYFUNCTION("""COMPUTED_VALUE"""),"Pesquisador 1")</f>
        <v>Pesquisador 1</v>
      </c>
      <c r="B2" s="5">
        <f>IFERROR(__xludf.DUMMYFUNCTION("""COMPUTED_VALUE"""),4.0)</f>
        <v>4</v>
      </c>
    </row>
    <row r="3" ht="15.75" customHeight="1">
      <c r="A3" s="5" t="str">
        <f>IFERROR(__xludf.DUMMYFUNCTION("""COMPUTED_VALUE"""),"Pesquisador 2")</f>
        <v>Pesquisador 2</v>
      </c>
      <c r="B3" s="5">
        <f>IFERROR(__xludf.DUMMYFUNCTION("""COMPUTED_VALUE"""),79.0)</f>
        <v>79</v>
      </c>
    </row>
    <row r="4" ht="15.75" customHeight="1">
      <c r="A4" s="5" t="str">
        <f>IFERROR(__xludf.DUMMYFUNCTION("""COMPUTED_VALUE"""),"Pesquisador 3")</f>
        <v>Pesquisador 3</v>
      </c>
      <c r="B4" s="5">
        <f>IFERROR(__xludf.DUMMYFUNCTION("""COMPUTED_VALUE"""),67.0)</f>
        <v>67</v>
      </c>
    </row>
    <row r="5" ht="15.75" customHeight="1">
      <c r="A5" s="5" t="str">
        <f>IFERROR(__xludf.DUMMYFUNCTION("""COMPUTED_VALUE"""),"Pesquisador 4")</f>
        <v>Pesquisador 4</v>
      </c>
      <c r="B5" s="5">
        <f>IFERROR(__xludf.DUMMYFUNCTION("""COMPUTED_VALUE"""),58.0)</f>
        <v>58</v>
      </c>
    </row>
    <row r="6" ht="15.75" customHeight="1">
      <c r="A6" s="9"/>
    </row>
    <row r="7" ht="15.75" customHeight="1">
      <c r="A7" s="9"/>
    </row>
    <row r="8" ht="15.75" customHeight="1">
      <c r="A8" s="9"/>
    </row>
    <row r="9" ht="15.75" customHeight="1">
      <c r="A9" s="9"/>
    </row>
    <row r="10" ht="15.75" customHeight="1">
      <c r="A10" s="9"/>
    </row>
    <row r="11" ht="15.75" customHeight="1">
      <c r="A11" s="9"/>
    </row>
    <row r="12" ht="15.75" customHeight="1">
      <c r="A12" s="9"/>
    </row>
    <row r="13" ht="15.75" customHeight="1">
      <c r="A13" s="9"/>
    </row>
    <row r="14" ht="15.75" customHeight="1">
      <c r="A14" s="9"/>
    </row>
    <row r="15" ht="15.75" customHeight="1">
      <c r="A15" s="9"/>
    </row>
    <row r="16" ht="15.75" customHeight="1">
      <c r="A16" s="9"/>
    </row>
    <row r="17" ht="15.75" customHeight="1">
      <c r="A17" s="9"/>
    </row>
    <row r="18" ht="15.75" customHeight="1">
      <c r="A18" s="9"/>
    </row>
    <row r="19" ht="15.75" customHeight="1">
      <c r="A19" s="9"/>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6" width="12.63"/>
  </cols>
  <sheetData>
    <row r="1" ht="15.75" customHeight="1">
      <c r="A1" s="3" t="str">
        <f>IFERROR(__xludf.DUMMYFUNCTION("QUERY('Protocolo - Extração de Dados'!P4:P1000, ""SELECT P, COUNT(P) WHERE P IS NOT NULL GROUP BY P LABEL P 'Responsável - 3ª Revisão', COUNT(P) 'Quantidade'"", 1)"),"Responsável - 3ª Revisão")</f>
        <v>Responsável - 3ª Revisão</v>
      </c>
      <c r="B1" s="3" t="str">
        <f>IFERROR(__xludf.DUMMYFUNCTION("""COMPUTED_VALUE"""),"Quantidade")</f>
        <v>Quantidade</v>
      </c>
    </row>
    <row r="2" ht="15.75" customHeight="1">
      <c r="A2" s="5" t="str">
        <f>IFERROR(__xludf.DUMMYFUNCTION("""COMPUTED_VALUE"""),"Pesquisador 1")</f>
        <v>Pesquisador 1</v>
      </c>
      <c r="B2" s="5">
        <f>IFERROR(__xludf.DUMMYFUNCTION("""COMPUTED_VALUE"""),53.0)</f>
        <v>53</v>
      </c>
    </row>
    <row r="3" ht="15.75" customHeight="1">
      <c r="A3" s="5" t="str">
        <f>IFERROR(__xludf.DUMMYFUNCTION("""COMPUTED_VALUE"""),"Pesquisador 2")</f>
        <v>Pesquisador 2</v>
      </c>
      <c r="B3" s="5">
        <f>IFERROR(__xludf.DUMMYFUNCTION("""COMPUTED_VALUE"""),47.0)</f>
        <v>47</v>
      </c>
    </row>
    <row r="4" ht="15.75" customHeight="1">
      <c r="A4" s="5" t="str">
        <f>IFERROR(__xludf.DUMMYFUNCTION("""COMPUTED_VALUE"""),"Pesquisador 3")</f>
        <v>Pesquisador 3</v>
      </c>
      <c r="B4" s="5">
        <f>IFERROR(__xludf.DUMMYFUNCTION("""COMPUTED_VALUE"""),56.0)</f>
        <v>56</v>
      </c>
    </row>
    <row r="5" ht="15.75" customHeight="1">
      <c r="A5" s="5" t="str">
        <f>IFERROR(__xludf.DUMMYFUNCTION("""COMPUTED_VALUE"""),"Pesquisador 4")</f>
        <v>Pesquisador 4</v>
      </c>
      <c r="B5" s="5">
        <f>IFERROR(__xludf.DUMMYFUNCTION("""COMPUTED_VALUE"""),52.0)</f>
        <v>52</v>
      </c>
    </row>
    <row r="6" ht="15.75" customHeight="1">
      <c r="A6" s="9"/>
    </row>
    <row r="7" ht="15.75" customHeight="1">
      <c r="A7" s="9"/>
    </row>
    <row r="8" ht="15.75" customHeight="1">
      <c r="A8" s="9"/>
    </row>
    <row r="9" ht="15.75" customHeight="1">
      <c r="A9" s="9"/>
    </row>
    <row r="10" ht="15.75" customHeight="1">
      <c r="A10" s="9"/>
    </row>
    <row r="11" ht="15.75" customHeight="1">
      <c r="A11" s="9"/>
    </row>
    <row r="12" ht="15.75" customHeight="1">
      <c r="A12" s="9"/>
    </row>
    <row r="13" ht="15.75" customHeight="1">
      <c r="A13" s="9"/>
    </row>
    <row r="14" ht="15.75" customHeight="1">
      <c r="A14" s="9"/>
    </row>
    <row r="15" ht="15.75" customHeight="1">
      <c r="A15" s="9"/>
    </row>
    <row r="16" ht="15.75" customHeight="1">
      <c r="A16" s="9"/>
    </row>
    <row r="17" ht="15.75" customHeight="1">
      <c r="A17" s="9"/>
    </row>
    <row r="18" ht="15.75" customHeight="1">
      <c r="A18" s="9"/>
    </row>
    <row r="19" ht="15.75" customHeight="1">
      <c r="A19" s="9"/>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6" width="12.63"/>
  </cols>
  <sheetData>
    <row r="1" ht="15.75" customHeight="1">
      <c r="A1" s="3" t="str">
        <f>IFERROR(__xludf.DUMMYFUNCTION("QUERY('Protocolo - Extração de Dados'!R4:R1000, ""SELECT R, COUNT(R) WHERE R IS NOT NULL GROUP BY R LABEL R 'Sugestão de Revisor 3 (Sem Conflito)', COUNT(R) 'Quantidade'"", 1)"),"Sugestão de Revisor 3 (Sem Conflito)")</f>
        <v>Sugestão de Revisor 3 (Sem Conflito)</v>
      </c>
      <c r="B1" s="3" t="str">
        <f>IFERROR(__xludf.DUMMYFUNCTION("""COMPUTED_VALUE"""),"Quantidade")</f>
        <v>Quantidade</v>
      </c>
    </row>
    <row r="2" ht="15.75" customHeight="1">
      <c r="A2" s="5" t="str">
        <f>IFERROR(__xludf.DUMMYFUNCTION("""COMPUTED_VALUE"""),"Pesquisador 1")</f>
        <v>Pesquisador 1</v>
      </c>
      <c r="B2" s="5">
        <f>IFERROR(__xludf.DUMMYFUNCTION("""COMPUTED_VALUE"""),18.0)</f>
        <v>18</v>
      </c>
    </row>
    <row r="3" ht="15.75" customHeight="1">
      <c r="A3" s="5" t="str">
        <f>IFERROR(__xludf.DUMMYFUNCTION("""COMPUTED_VALUE"""),"Pesquisador 2")</f>
        <v>Pesquisador 2</v>
      </c>
      <c r="B3" s="5">
        <f>IFERROR(__xludf.DUMMYFUNCTION("""COMPUTED_VALUE"""),12.0)</f>
        <v>12</v>
      </c>
    </row>
    <row r="4" ht="15.75" customHeight="1">
      <c r="A4" s="9"/>
    </row>
    <row r="5" ht="15.75" customHeight="1">
      <c r="A5" s="9"/>
    </row>
    <row r="6" ht="15.75" customHeight="1">
      <c r="A6" s="9"/>
    </row>
    <row r="7" ht="15.75" customHeight="1">
      <c r="A7" s="9"/>
    </row>
    <row r="8" ht="15.75" customHeight="1">
      <c r="A8" s="9"/>
    </row>
    <row r="9" ht="15.75" customHeight="1">
      <c r="A9" s="9"/>
    </row>
    <row r="10" ht="15.75" customHeight="1">
      <c r="A10" s="9"/>
    </row>
    <row r="11" ht="15.75" customHeight="1">
      <c r="A11" s="9"/>
    </row>
    <row r="12" ht="15.75" customHeight="1">
      <c r="A12" s="9"/>
    </row>
    <row r="13" ht="15.75" customHeight="1">
      <c r="A13" s="9"/>
    </row>
    <row r="14" ht="15.75" customHeight="1">
      <c r="A14" s="9"/>
    </row>
    <row r="15" ht="15.75" customHeight="1">
      <c r="A15" s="9"/>
    </row>
    <row r="16" ht="15.75" customHeight="1">
      <c r="A16" s="9"/>
    </row>
    <row r="17" ht="15.75" customHeight="1">
      <c r="A17" s="9"/>
    </row>
    <row r="18" ht="15.75" customHeight="1">
      <c r="A18" s="9"/>
    </row>
    <row r="19" ht="15.75" customHeight="1">
      <c r="A19" s="9"/>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4.88"/>
    <col customWidth="1" min="3" max="4" width="14.75"/>
    <col customWidth="1" min="5" max="5" width="14.88"/>
    <col customWidth="1" min="6" max="6" width="14.38"/>
    <col customWidth="1" min="7" max="9" width="14.88"/>
    <col customWidth="1" min="10" max="10" width="14.13"/>
    <col customWidth="1" min="11" max="11" width="14.38"/>
    <col customWidth="1" min="12" max="12" width="13.63"/>
  </cols>
  <sheetData>
    <row r="1" ht="75.75" customHeight="1">
      <c r="A1" s="23" t="s">
        <v>526</v>
      </c>
      <c r="B1" s="23" t="s">
        <v>527</v>
      </c>
      <c r="C1" s="23" t="s">
        <v>528</v>
      </c>
      <c r="D1" s="23" t="s">
        <v>529</v>
      </c>
      <c r="E1" s="23" t="s">
        <v>531</v>
      </c>
      <c r="F1" s="23" t="s">
        <v>8</v>
      </c>
      <c r="G1" s="23" t="s">
        <v>535</v>
      </c>
      <c r="H1" s="23" t="s">
        <v>10</v>
      </c>
      <c r="I1" s="23" t="s">
        <v>11</v>
      </c>
      <c r="J1" s="23" t="s">
        <v>12</v>
      </c>
      <c r="K1" s="23" t="s">
        <v>540</v>
      </c>
      <c r="L1" s="23" t="s">
        <v>542</v>
      </c>
      <c r="M1" s="9"/>
      <c r="N1" s="9"/>
      <c r="O1" s="9"/>
      <c r="P1" s="9"/>
      <c r="Q1" s="9"/>
      <c r="R1" s="9"/>
      <c r="S1" s="9"/>
      <c r="T1" s="9"/>
      <c r="U1" s="9"/>
      <c r="V1" s="9"/>
      <c r="W1" s="9"/>
      <c r="X1" s="9"/>
      <c r="Y1" s="9"/>
      <c r="Z1" s="9"/>
    </row>
    <row r="2" ht="175.5" customHeight="1">
      <c r="A2" s="40" t="s">
        <v>543</v>
      </c>
      <c r="B2" s="40" t="s">
        <v>550</v>
      </c>
      <c r="C2" s="40" t="s">
        <v>552</v>
      </c>
      <c r="D2" s="40" t="s">
        <v>554</v>
      </c>
      <c r="E2" s="40" t="s">
        <v>555</v>
      </c>
      <c r="F2" s="40" t="s">
        <v>557</v>
      </c>
      <c r="G2" s="40" t="s">
        <v>558</v>
      </c>
      <c r="H2" s="40" t="s">
        <v>559</v>
      </c>
      <c r="I2" s="40" t="s">
        <v>560</v>
      </c>
      <c r="J2" s="40" t="s">
        <v>561</v>
      </c>
      <c r="K2" s="40" t="s">
        <v>562</v>
      </c>
      <c r="L2" s="40"/>
      <c r="M2" s="9"/>
      <c r="N2" s="9"/>
      <c r="O2" s="9"/>
      <c r="P2" s="9"/>
      <c r="Q2" s="9"/>
      <c r="R2" s="9"/>
      <c r="S2" s="9"/>
      <c r="T2" s="9"/>
      <c r="U2" s="9"/>
      <c r="V2" s="9"/>
      <c r="W2" s="9"/>
      <c r="X2" s="9"/>
      <c r="Y2" s="9"/>
      <c r="Z2" s="9"/>
    </row>
    <row r="3" ht="175.5" customHeight="1">
      <c r="A3" s="40" t="s">
        <v>563</v>
      </c>
      <c r="B3" s="40" t="s">
        <v>550</v>
      </c>
      <c r="C3" s="40" t="s">
        <v>552</v>
      </c>
      <c r="D3" s="40" t="s">
        <v>564</v>
      </c>
      <c r="E3" s="40" t="s">
        <v>565</v>
      </c>
      <c r="F3" s="40" t="s">
        <v>557</v>
      </c>
      <c r="G3" s="40" t="s">
        <v>567</v>
      </c>
      <c r="H3" s="40" t="s">
        <v>569</v>
      </c>
      <c r="I3" s="40" t="s">
        <v>570</v>
      </c>
      <c r="J3" s="40" t="s">
        <v>561</v>
      </c>
      <c r="K3" s="40" t="s">
        <v>562</v>
      </c>
      <c r="L3" s="40"/>
      <c r="M3" s="9"/>
      <c r="N3" s="9"/>
      <c r="O3" s="9"/>
      <c r="P3" s="9"/>
      <c r="Q3" s="9"/>
      <c r="R3" s="9"/>
      <c r="S3" s="9"/>
      <c r="T3" s="9"/>
      <c r="U3" s="9"/>
      <c r="V3" s="9"/>
      <c r="W3" s="9"/>
      <c r="X3" s="9"/>
      <c r="Y3" s="9"/>
      <c r="Z3" s="9"/>
    </row>
    <row r="4" ht="175.5" customHeight="1">
      <c r="A4" s="40" t="s">
        <v>577</v>
      </c>
      <c r="B4" s="40" t="s">
        <v>550</v>
      </c>
      <c r="C4" s="40" t="s">
        <v>552</v>
      </c>
      <c r="D4" s="40" t="s">
        <v>581</v>
      </c>
      <c r="E4" s="40" t="s">
        <v>583</v>
      </c>
      <c r="F4" s="40" t="s">
        <v>557</v>
      </c>
      <c r="G4" s="40" t="s">
        <v>585</v>
      </c>
      <c r="H4" s="40" t="s">
        <v>587</v>
      </c>
      <c r="I4" s="40" t="s">
        <v>588</v>
      </c>
      <c r="J4" s="40" t="s">
        <v>561</v>
      </c>
      <c r="K4" s="40" t="s">
        <v>562</v>
      </c>
      <c r="L4" s="40"/>
      <c r="M4" s="9"/>
      <c r="N4" s="9"/>
      <c r="O4" s="9"/>
      <c r="P4" s="9"/>
      <c r="Q4" s="9"/>
      <c r="R4" s="9"/>
      <c r="S4" s="9"/>
      <c r="T4" s="9"/>
      <c r="U4" s="9"/>
      <c r="V4" s="9"/>
      <c r="W4" s="9"/>
      <c r="X4" s="9"/>
      <c r="Y4" s="9"/>
      <c r="Z4" s="9"/>
    </row>
    <row r="5" ht="175.5" customHeight="1">
      <c r="A5" s="40" t="s">
        <v>590</v>
      </c>
      <c r="B5" s="40" t="s">
        <v>550</v>
      </c>
      <c r="C5" s="40" t="s">
        <v>552</v>
      </c>
      <c r="D5" s="40" t="s">
        <v>592</v>
      </c>
      <c r="E5" s="40" t="s">
        <v>593</v>
      </c>
      <c r="F5" s="40" t="s">
        <v>557</v>
      </c>
      <c r="G5" s="40" t="s">
        <v>594</v>
      </c>
      <c r="H5" s="40" t="s">
        <v>595</v>
      </c>
      <c r="I5" s="40" t="s">
        <v>596</v>
      </c>
      <c r="J5" s="40" t="s">
        <v>561</v>
      </c>
      <c r="K5" s="40" t="s">
        <v>562</v>
      </c>
      <c r="L5" s="40"/>
      <c r="M5" s="9"/>
      <c r="N5" s="9"/>
      <c r="O5" s="9"/>
      <c r="P5" s="9"/>
      <c r="Q5" s="9"/>
      <c r="R5" s="9"/>
      <c r="S5" s="9"/>
      <c r="T5" s="9"/>
      <c r="U5" s="9"/>
      <c r="V5" s="9"/>
      <c r="W5" s="9"/>
      <c r="X5" s="9"/>
      <c r="Y5" s="9"/>
      <c r="Z5" s="9"/>
    </row>
    <row r="6" ht="175.5" customHeight="1">
      <c r="A6" s="40" t="s">
        <v>597</v>
      </c>
      <c r="B6" s="40" t="s">
        <v>550</v>
      </c>
      <c r="C6" s="40" t="s">
        <v>552</v>
      </c>
      <c r="D6" s="40" t="s">
        <v>600</v>
      </c>
      <c r="E6" s="40" t="s">
        <v>602</v>
      </c>
      <c r="F6" s="40" t="s">
        <v>557</v>
      </c>
      <c r="G6" s="40" t="s">
        <v>604</v>
      </c>
      <c r="H6" s="40" t="s">
        <v>606</v>
      </c>
      <c r="I6" s="40" t="s">
        <v>607</v>
      </c>
      <c r="J6" s="40" t="s">
        <v>561</v>
      </c>
      <c r="K6" s="40" t="s">
        <v>562</v>
      </c>
      <c r="L6" s="40"/>
      <c r="M6" s="9"/>
      <c r="N6" s="9"/>
      <c r="O6" s="9"/>
      <c r="P6" s="9"/>
      <c r="Q6" s="9"/>
      <c r="R6" s="9"/>
      <c r="S6" s="9"/>
      <c r="T6" s="9"/>
      <c r="U6" s="9"/>
      <c r="V6" s="9"/>
      <c r="W6" s="9"/>
      <c r="X6" s="9"/>
      <c r="Y6" s="9"/>
      <c r="Z6" s="9"/>
    </row>
    <row r="7" ht="175.5" customHeight="1">
      <c r="A7" s="40" t="s">
        <v>612</v>
      </c>
      <c r="B7" s="40" t="s">
        <v>550</v>
      </c>
      <c r="C7" s="40" t="s">
        <v>552</v>
      </c>
      <c r="D7" s="40" t="s">
        <v>613</v>
      </c>
      <c r="E7" s="40" t="s">
        <v>614</v>
      </c>
      <c r="F7" s="40" t="s">
        <v>557</v>
      </c>
      <c r="G7" s="40" t="s">
        <v>615</v>
      </c>
      <c r="H7" s="40" t="s">
        <v>617</v>
      </c>
      <c r="I7" s="40" t="s">
        <v>618</v>
      </c>
      <c r="J7" s="40" t="s">
        <v>561</v>
      </c>
      <c r="K7" s="40" t="s">
        <v>562</v>
      </c>
      <c r="L7" s="40"/>
      <c r="M7" s="9"/>
      <c r="N7" s="9"/>
      <c r="O7" s="9"/>
      <c r="P7" s="9"/>
      <c r="Q7" s="9"/>
      <c r="R7" s="9"/>
      <c r="S7" s="9"/>
      <c r="T7" s="9"/>
      <c r="U7" s="9"/>
      <c r="V7" s="9"/>
      <c r="W7" s="9"/>
      <c r="X7" s="9"/>
      <c r="Y7" s="9"/>
      <c r="Z7" s="9"/>
    </row>
    <row r="8" ht="175.5" customHeight="1">
      <c r="A8" s="40" t="s">
        <v>626</v>
      </c>
      <c r="B8" s="40" t="s">
        <v>550</v>
      </c>
      <c r="C8" s="40" t="s">
        <v>552</v>
      </c>
      <c r="D8" s="40" t="s">
        <v>627</v>
      </c>
      <c r="E8" s="40" t="s">
        <v>628</v>
      </c>
      <c r="F8" s="40" t="s">
        <v>557</v>
      </c>
      <c r="G8" s="40" t="s">
        <v>629</v>
      </c>
      <c r="H8" s="40" t="s">
        <v>630</v>
      </c>
      <c r="I8" s="40" t="s">
        <v>632</v>
      </c>
      <c r="J8" s="40" t="s">
        <v>561</v>
      </c>
      <c r="K8" s="40" t="s">
        <v>562</v>
      </c>
      <c r="L8" s="40"/>
      <c r="M8" s="9"/>
      <c r="N8" s="9"/>
      <c r="O8" s="9"/>
      <c r="P8" s="9"/>
      <c r="Q8" s="9"/>
      <c r="R8" s="9"/>
      <c r="S8" s="9"/>
      <c r="T8" s="9"/>
      <c r="U8" s="9"/>
      <c r="V8" s="9"/>
      <c r="W8" s="9"/>
      <c r="X8" s="9"/>
      <c r="Y8" s="9"/>
      <c r="Z8" s="9"/>
    </row>
    <row r="9" ht="175.5" customHeight="1">
      <c r="A9" s="40" t="s">
        <v>640</v>
      </c>
      <c r="B9" s="40" t="s">
        <v>550</v>
      </c>
      <c r="C9" s="40" t="s">
        <v>552</v>
      </c>
      <c r="D9" s="40" t="s">
        <v>642</v>
      </c>
      <c r="E9" s="40" t="s">
        <v>643</v>
      </c>
      <c r="F9" s="40" t="s">
        <v>557</v>
      </c>
      <c r="G9" s="40" t="s">
        <v>644</v>
      </c>
      <c r="H9" s="40" t="s">
        <v>645</v>
      </c>
      <c r="I9" s="40" t="s">
        <v>646</v>
      </c>
      <c r="J9" s="40" t="s">
        <v>561</v>
      </c>
      <c r="K9" s="40" t="s">
        <v>562</v>
      </c>
      <c r="L9" s="40"/>
      <c r="M9" s="9"/>
      <c r="N9" s="9"/>
      <c r="O9" s="9"/>
      <c r="P9" s="9"/>
      <c r="Q9" s="9"/>
      <c r="R9" s="9"/>
      <c r="S9" s="9"/>
      <c r="T9" s="9"/>
      <c r="U9" s="9"/>
      <c r="V9" s="9"/>
      <c r="W9" s="9"/>
      <c r="X9" s="9"/>
      <c r="Y9" s="9"/>
      <c r="Z9" s="9"/>
    </row>
    <row r="10" ht="175.5" customHeight="1">
      <c r="A10" s="40" t="s">
        <v>656</v>
      </c>
      <c r="B10" s="40" t="s">
        <v>550</v>
      </c>
      <c r="C10" s="40" t="s">
        <v>552</v>
      </c>
      <c r="D10" s="40" t="s">
        <v>657</v>
      </c>
      <c r="E10" s="40" t="s">
        <v>658</v>
      </c>
      <c r="F10" s="40" t="s">
        <v>557</v>
      </c>
      <c r="G10" s="40" t="s">
        <v>660</v>
      </c>
      <c r="H10" s="40" t="s">
        <v>662</v>
      </c>
      <c r="I10" s="40" t="s">
        <v>665</v>
      </c>
      <c r="J10" s="40" t="s">
        <v>561</v>
      </c>
      <c r="K10" s="40" t="s">
        <v>562</v>
      </c>
      <c r="L10" s="40"/>
      <c r="M10" s="9"/>
      <c r="N10" s="9"/>
      <c r="O10" s="9"/>
      <c r="P10" s="9"/>
      <c r="Q10" s="9"/>
      <c r="R10" s="9"/>
      <c r="S10" s="9"/>
      <c r="T10" s="9"/>
      <c r="U10" s="9"/>
      <c r="V10" s="9"/>
      <c r="W10" s="9"/>
      <c r="X10" s="9"/>
      <c r="Y10" s="9"/>
      <c r="Z10" s="9"/>
    </row>
    <row r="11" ht="175.5" customHeight="1">
      <c r="A11" s="40" t="s">
        <v>671</v>
      </c>
      <c r="B11" s="40" t="s">
        <v>550</v>
      </c>
      <c r="C11" s="40" t="s">
        <v>552</v>
      </c>
      <c r="D11" s="40" t="s">
        <v>672</v>
      </c>
      <c r="E11" s="40" t="s">
        <v>673</v>
      </c>
      <c r="F11" s="40" t="s">
        <v>557</v>
      </c>
      <c r="G11" s="40" t="s">
        <v>674</v>
      </c>
      <c r="H11" s="40" t="s">
        <v>675</v>
      </c>
      <c r="I11" s="40" t="s">
        <v>677</v>
      </c>
      <c r="J11" s="40" t="s">
        <v>561</v>
      </c>
      <c r="K11" s="40" t="s">
        <v>562</v>
      </c>
      <c r="L11" s="40"/>
      <c r="M11" s="9"/>
      <c r="N11" s="9"/>
      <c r="O11" s="9"/>
      <c r="P11" s="9"/>
      <c r="Q11" s="9"/>
      <c r="R11" s="9"/>
      <c r="S11" s="9"/>
      <c r="T11" s="9"/>
      <c r="U11" s="9"/>
      <c r="V11" s="9"/>
      <c r="W11" s="9"/>
      <c r="X11" s="9"/>
      <c r="Y11" s="9"/>
      <c r="Z11" s="9"/>
    </row>
    <row r="12" ht="175.5" customHeight="1">
      <c r="A12" s="40" t="s">
        <v>683</v>
      </c>
      <c r="B12" s="40" t="s">
        <v>550</v>
      </c>
      <c r="C12" s="40" t="s">
        <v>552</v>
      </c>
      <c r="D12" s="40" t="s">
        <v>687</v>
      </c>
      <c r="E12" s="40" t="s">
        <v>688</v>
      </c>
      <c r="F12" s="40" t="s">
        <v>557</v>
      </c>
      <c r="G12" s="40" t="s">
        <v>690</v>
      </c>
      <c r="H12" s="40" t="s">
        <v>692</v>
      </c>
      <c r="I12" s="40" t="s">
        <v>694</v>
      </c>
      <c r="J12" s="40" t="s">
        <v>561</v>
      </c>
      <c r="K12" s="40" t="s">
        <v>562</v>
      </c>
      <c r="L12" s="40"/>
      <c r="M12" s="9"/>
      <c r="N12" s="9"/>
      <c r="O12" s="9"/>
      <c r="P12" s="9"/>
      <c r="Q12" s="9"/>
      <c r="R12" s="9"/>
      <c r="S12" s="9"/>
      <c r="T12" s="9"/>
      <c r="U12" s="9"/>
      <c r="V12" s="9"/>
      <c r="W12" s="9"/>
      <c r="X12" s="9"/>
      <c r="Y12" s="9"/>
      <c r="Z12" s="9"/>
    </row>
    <row r="13" ht="175.5" customHeight="1">
      <c r="A13" s="40" t="s">
        <v>698</v>
      </c>
      <c r="B13" s="40" t="s">
        <v>550</v>
      </c>
      <c r="C13" s="40" t="s">
        <v>552</v>
      </c>
      <c r="D13" s="40" t="s">
        <v>699</v>
      </c>
      <c r="E13" s="40" t="s">
        <v>700</v>
      </c>
      <c r="F13" s="40" t="s">
        <v>557</v>
      </c>
      <c r="G13" s="40" t="s">
        <v>701</v>
      </c>
      <c r="H13" s="40" t="s">
        <v>703</v>
      </c>
      <c r="I13" s="40" t="s">
        <v>705</v>
      </c>
      <c r="J13" s="40" t="s">
        <v>561</v>
      </c>
      <c r="K13" s="40" t="s">
        <v>562</v>
      </c>
      <c r="L13" s="40"/>
      <c r="M13" s="9"/>
      <c r="N13" s="9"/>
      <c r="O13" s="9"/>
      <c r="P13" s="9"/>
      <c r="Q13" s="9"/>
      <c r="R13" s="9"/>
      <c r="S13" s="9"/>
      <c r="T13" s="9"/>
      <c r="U13" s="9"/>
      <c r="V13" s="9"/>
      <c r="W13" s="9"/>
      <c r="X13" s="9"/>
      <c r="Y13" s="9"/>
      <c r="Z13" s="9"/>
    </row>
    <row r="14" ht="175.5" customHeight="1">
      <c r="A14" s="40" t="s">
        <v>711</v>
      </c>
      <c r="B14" s="40" t="s">
        <v>550</v>
      </c>
      <c r="C14" s="40" t="s">
        <v>552</v>
      </c>
      <c r="D14" s="40" t="s">
        <v>713</v>
      </c>
      <c r="E14" s="40" t="s">
        <v>714</v>
      </c>
      <c r="F14" s="40" t="s">
        <v>557</v>
      </c>
      <c r="G14" s="40" t="s">
        <v>715</v>
      </c>
      <c r="H14" s="40" t="s">
        <v>716</v>
      </c>
      <c r="I14" s="40" t="s">
        <v>717</v>
      </c>
      <c r="J14" s="40" t="s">
        <v>561</v>
      </c>
      <c r="K14" s="40" t="s">
        <v>562</v>
      </c>
      <c r="L14" s="40"/>
      <c r="M14" s="9"/>
      <c r="N14" s="9"/>
      <c r="O14" s="9"/>
      <c r="P14" s="9"/>
      <c r="Q14" s="9"/>
      <c r="R14" s="9"/>
      <c r="S14" s="9"/>
      <c r="T14" s="9"/>
      <c r="U14" s="9"/>
      <c r="V14" s="9"/>
      <c r="W14" s="9"/>
      <c r="X14" s="9"/>
      <c r="Y14" s="9"/>
      <c r="Z14" s="9"/>
    </row>
    <row r="15" ht="175.5" customHeight="1">
      <c r="A15" s="40" t="s">
        <v>720</v>
      </c>
      <c r="B15" s="40" t="s">
        <v>550</v>
      </c>
      <c r="C15" s="40" t="s">
        <v>552</v>
      </c>
      <c r="D15" s="40" t="s">
        <v>724</v>
      </c>
      <c r="E15" s="40" t="s">
        <v>726</v>
      </c>
      <c r="F15" s="40" t="s">
        <v>557</v>
      </c>
      <c r="G15" s="40" t="s">
        <v>727</v>
      </c>
      <c r="H15" s="40" t="s">
        <v>728</v>
      </c>
      <c r="I15" s="40" t="s">
        <v>731</v>
      </c>
      <c r="J15" s="40" t="s">
        <v>561</v>
      </c>
      <c r="K15" s="40" t="s">
        <v>562</v>
      </c>
      <c r="L15" s="40"/>
      <c r="M15" s="9"/>
      <c r="N15" s="9"/>
      <c r="O15" s="9"/>
      <c r="P15" s="9"/>
      <c r="Q15" s="9"/>
      <c r="R15" s="9"/>
      <c r="S15" s="9"/>
      <c r="T15" s="9"/>
      <c r="U15" s="9"/>
      <c r="V15" s="9"/>
      <c r="W15" s="9"/>
      <c r="X15" s="9"/>
      <c r="Y15" s="9"/>
      <c r="Z15" s="9"/>
    </row>
    <row r="16" ht="175.5" customHeight="1">
      <c r="A16" s="40" t="s">
        <v>738</v>
      </c>
      <c r="B16" s="40" t="s">
        <v>550</v>
      </c>
      <c r="C16" s="40" t="s">
        <v>552</v>
      </c>
      <c r="D16" s="40" t="s">
        <v>740</v>
      </c>
      <c r="E16" s="40" t="s">
        <v>741</v>
      </c>
      <c r="F16" s="40" t="s">
        <v>557</v>
      </c>
      <c r="G16" s="40" t="s">
        <v>743</v>
      </c>
      <c r="H16" s="40" t="s">
        <v>744</v>
      </c>
      <c r="I16" s="40" t="s">
        <v>745</v>
      </c>
      <c r="J16" s="40" t="s">
        <v>561</v>
      </c>
      <c r="K16" s="40" t="s">
        <v>562</v>
      </c>
      <c r="L16" s="40"/>
      <c r="M16" s="9"/>
      <c r="N16" s="9"/>
      <c r="O16" s="9"/>
      <c r="P16" s="9"/>
      <c r="Q16" s="9"/>
      <c r="R16" s="9"/>
      <c r="S16" s="9"/>
      <c r="T16" s="9"/>
      <c r="U16" s="9"/>
      <c r="V16" s="9"/>
      <c r="W16" s="9"/>
      <c r="X16" s="9"/>
      <c r="Y16" s="9"/>
      <c r="Z16" s="9"/>
    </row>
    <row r="17" ht="175.5" customHeight="1">
      <c r="A17" s="40" t="s">
        <v>746</v>
      </c>
      <c r="B17" s="40" t="s">
        <v>550</v>
      </c>
      <c r="C17" s="40" t="s">
        <v>552</v>
      </c>
      <c r="D17" s="40" t="s">
        <v>749</v>
      </c>
      <c r="E17" s="40" t="s">
        <v>750</v>
      </c>
      <c r="F17" s="40" t="s">
        <v>557</v>
      </c>
      <c r="G17" s="40" t="s">
        <v>752</v>
      </c>
      <c r="H17" s="40" t="s">
        <v>754</v>
      </c>
      <c r="I17" s="40" t="s">
        <v>755</v>
      </c>
      <c r="J17" s="40" t="s">
        <v>561</v>
      </c>
      <c r="K17" s="40" t="s">
        <v>562</v>
      </c>
      <c r="L17" s="40"/>
      <c r="M17" s="9"/>
      <c r="N17" s="9"/>
      <c r="O17" s="9"/>
      <c r="P17" s="9"/>
      <c r="Q17" s="9"/>
      <c r="R17" s="9"/>
      <c r="S17" s="9"/>
      <c r="T17" s="9"/>
      <c r="U17" s="9"/>
      <c r="V17" s="9"/>
      <c r="W17" s="9"/>
      <c r="X17" s="9"/>
      <c r="Y17" s="9"/>
      <c r="Z17" s="9"/>
    </row>
    <row r="18" ht="175.5" customHeight="1">
      <c r="A18" s="40" t="s">
        <v>760</v>
      </c>
      <c r="B18" s="40" t="s">
        <v>550</v>
      </c>
      <c r="C18" s="40" t="s">
        <v>552</v>
      </c>
      <c r="D18" s="40" t="s">
        <v>762</v>
      </c>
      <c r="E18" s="40" t="s">
        <v>763</v>
      </c>
      <c r="F18" s="40" t="s">
        <v>557</v>
      </c>
      <c r="G18" s="40" t="s">
        <v>764</v>
      </c>
      <c r="H18" s="40" t="s">
        <v>765</v>
      </c>
      <c r="I18" s="40" t="s">
        <v>766</v>
      </c>
      <c r="J18" s="40" t="s">
        <v>561</v>
      </c>
      <c r="K18" s="40" t="s">
        <v>562</v>
      </c>
      <c r="L18" s="40"/>
      <c r="M18" s="9"/>
      <c r="N18" s="9"/>
      <c r="O18" s="9"/>
      <c r="P18" s="9"/>
      <c r="Q18" s="9"/>
      <c r="R18" s="9"/>
      <c r="S18" s="9"/>
      <c r="T18" s="9"/>
      <c r="U18" s="9"/>
      <c r="V18" s="9"/>
      <c r="W18" s="9"/>
      <c r="X18" s="9"/>
      <c r="Y18" s="9"/>
      <c r="Z18" s="9"/>
    </row>
    <row r="19" ht="175.5" customHeight="1">
      <c r="A19" s="40" t="s">
        <v>767</v>
      </c>
      <c r="B19" s="40" t="s">
        <v>550</v>
      </c>
      <c r="C19" s="40" t="s">
        <v>552</v>
      </c>
      <c r="D19" s="40" t="s">
        <v>768</v>
      </c>
      <c r="E19" s="40" t="s">
        <v>769</v>
      </c>
      <c r="F19" s="40" t="s">
        <v>557</v>
      </c>
      <c r="G19" s="40" t="s">
        <v>770</v>
      </c>
      <c r="H19" s="40" t="s">
        <v>771</v>
      </c>
      <c r="I19" s="40" t="s">
        <v>772</v>
      </c>
      <c r="J19" s="40" t="s">
        <v>561</v>
      </c>
      <c r="K19" s="40" t="s">
        <v>562</v>
      </c>
      <c r="L19" s="40"/>
      <c r="M19" s="9"/>
      <c r="N19" s="9"/>
      <c r="O19" s="9"/>
      <c r="P19" s="9"/>
      <c r="Q19" s="9"/>
      <c r="R19" s="9"/>
      <c r="S19" s="9"/>
      <c r="T19" s="9"/>
      <c r="U19" s="9"/>
      <c r="V19" s="9"/>
      <c r="W19" s="9"/>
      <c r="X19" s="9"/>
      <c r="Y19" s="9"/>
      <c r="Z19" s="9"/>
    </row>
    <row r="20" ht="175.5" customHeight="1">
      <c r="A20" s="40" t="s">
        <v>773</v>
      </c>
      <c r="B20" s="40" t="s">
        <v>550</v>
      </c>
      <c r="C20" s="40" t="s">
        <v>552</v>
      </c>
      <c r="D20" s="40" t="s">
        <v>774</v>
      </c>
      <c r="E20" s="40" t="s">
        <v>775</v>
      </c>
      <c r="F20" s="40" t="s">
        <v>557</v>
      </c>
      <c r="G20" s="40" t="s">
        <v>776</v>
      </c>
      <c r="H20" s="40" t="s">
        <v>777</v>
      </c>
      <c r="I20" s="40" t="s">
        <v>778</v>
      </c>
      <c r="J20" s="40" t="s">
        <v>561</v>
      </c>
      <c r="K20" s="40" t="s">
        <v>562</v>
      </c>
      <c r="L20" s="40"/>
      <c r="M20" s="9"/>
      <c r="N20" s="9"/>
      <c r="O20" s="9"/>
      <c r="P20" s="9"/>
      <c r="Q20" s="9"/>
      <c r="R20" s="9"/>
      <c r="S20" s="9"/>
      <c r="T20" s="9"/>
      <c r="U20" s="9"/>
      <c r="V20" s="9"/>
      <c r="W20" s="9"/>
      <c r="X20" s="9"/>
      <c r="Y20" s="9"/>
      <c r="Z20" s="9"/>
    </row>
    <row r="21" ht="175.5" customHeight="1">
      <c r="A21" s="40" t="s">
        <v>780</v>
      </c>
      <c r="B21" s="40" t="s">
        <v>550</v>
      </c>
      <c r="C21" s="40" t="s">
        <v>552</v>
      </c>
      <c r="D21" s="40" t="s">
        <v>781</v>
      </c>
      <c r="E21" s="40" t="s">
        <v>782</v>
      </c>
      <c r="F21" s="40" t="s">
        <v>557</v>
      </c>
      <c r="G21" s="40" t="s">
        <v>784</v>
      </c>
      <c r="H21" s="40" t="s">
        <v>785</v>
      </c>
      <c r="I21" s="40" t="s">
        <v>787</v>
      </c>
      <c r="J21" s="40" t="s">
        <v>561</v>
      </c>
      <c r="K21" s="40" t="s">
        <v>562</v>
      </c>
      <c r="L21" s="40"/>
      <c r="M21" s="9"/>
      <c r="N21" s="9"/>
      <c r="O21" s="9"/>
      <c r="P21" s="9"/>
      <c r="Q21" s="9"/>
      <c r="R21" s="9"/>
      <c r="S21" s="9"/>
      <c r="T21" s="9"/>
      <c r="U21" s="9"/>
      <c r="V21" s="9"/>
      <c r="W21" s="9"/>
      <c r="X21" s="9"/>
      <c r="Y21" s="9"/>
      <c r="Z21" s="9"/>
    </row>
    <row r="22" ht="175.5" customHeight="1">
      <c r="A22" s="40" t="s">
        <v>790</v>
      </c>
      <c r="B22" s="40" t="s">
        <v>550</v>
      </c>
      <c r="C22" s="40" t="s">
        <v>552</v>
      </c>
      <c r="D22" s="40" t="s">
        <v>792</v>
      </c>
      <c r="E22" s="40" t="s">
        <v>794</v>
      </c>
      <c r="F22" s="40" t="s">
        <v>557</v>
      </c>
      <c r="G22" s="40" t="s">
        <v>796</v>
      </c>
      <c r="H22" s="40" t="s">
        <v>797</v>
      </c>
      <c r="I22" s="40" t="s">
        <v>798</v>
      </c>
      <c r="J22" s="40" t="s">
        <v>561</v>
      </c>
      <c r="K22" s="40" t="s">
        <v>562</v>
      </c>
      <c r="L22" s="40"/>
      <c r="M22" s="9"/>
      <c r="N22" s="9"/>
      <c r="O22" s="9"/>
      <c r="P22" s="9"/>
      <c r="Q22" s="9"/>
      <c r="R22" s="9"/>
      <c r="S22" s="9"/>
      <c r="T22" s="9"/>
      <c r="U22" s="9"/>
      <c r="V22" s="9"/>
      <c r="W22" s="9"/>
      <c r="X22" s="9"/>
      <c r="Y22" s="9"/>
      <c r="Z22" s="9"/>
    </row>
    <row r="23" ht="175.5" customHeight="1">
      <c r="A23" s="40" t="s">
        <v>799</v>
      </c>
      <c r="B23" s="40" t="s">
        <v>550</v>
      </c>
      <c r="C23" s="40" t="s">
        <v>552</v>
      </c>
      <c r="D23" s="40" t="s">
        <v>800</v>
      </c>
      <c r="E23" s="40" t="s">
        <v>801</v>
      </c>
      <c r="F23" s="40" t="s">
        <v>557</v>
      </c>
      <c r="G23" s="40" t="s">
        <v>802</v>
      </c>
      <c r="H23" s="40" t="s">
        <v>803</v>
      </c>
      <c r="I23" s="40" t="s">
        <v>804</v>
      </c>
      <c r="J23" s="40" t="s">
        <v>561</v>
      </c>
      <c r="K23" s="40" t="s">
        <v>562</v>
      </c>
      <c r="L23" s="40"/>
      <c r="M23" s="9"/>
      <c r="N23" s="9"/>
      <c r="O23" s="9"/>
      <c r="P23" s="9"/>
      <c r="Q23" s="9"/>
      <c r="R23" s="9"/>
      <c r="S23" s="9"/>
      <c r="T23" s="9"/>
      <c r="U23" s="9"/>
      <c r="V23" s="9"/>
      <c r="W23" s="9"/>
      <c r="X23" s="9"/>
      <c r="Y23" s="9"/>
      <c r="Z23" s="9"/>
    </row>
    <row r="24" ht="15.75" customHeight="1">
      <c r="A24" s="11"/>
      <c r="B24" s="11"/>
      <c r="C24" s="11"/>
      <c r="D24" s="11"/>
      <c r="E24" s="11"/>
      <c r="F24" s="9"/>
      <c r="G24" s="11"/>
      <c r="H24" s="11"/>
      <c r="I24" s="11"/>
      <c r="J24" s="11"/>
      <c r="K24" s="9"/>
      <c r="L24" s="11"/>
      <c r="M24" s="9"/>
      <c r="N24" s="9"/>
      <c r="O24" s="9"/>
      <c r="P24" s="9"/>
      <c r="Q24" s="9"/>
      <c r="R24" s="9"/>
      <c r="S24" s="9"/>
      <c r="T24" s="9"/>
      <c r="U24" s="9"/>
      <c r="V24" s="9"/>
      <c r="W24" s="9"/>
      <c r="X24" s="9"/>
      <c r="Y24" s="9"/>
      <c r="Z24" s="9"/>
    </row>
    <row r="25" ht="15.75" customHeight="1">
      <c r="A25" s="11"/>
      <c r="B25" s="11"/>
      <c r="C25" s="11"/>
      <c r="D25" s="11"/>
      <c r="E25" s="11"/>
      <c r="F25" s="9"/>
      <c r="G25" s="11"/>
      <c r="H25" s="11"/>
      <c r="I25" s="11"/>
      <c r="J25" s="11"/>
      <c r="K25" s="9"/>
      <c r="L25" s="11"/>
      <c r="M25" s="9"/>
      <c r="N25" s="9"/>
      <c r="O25" s="9"/>
      <c r="P25" s="9"/>
      <c r="Q25" s="9"/>
      <c r="R25" s="9"/>
      <c r="S25" s="9"/>
      <c r="T25" s="9"/>
      <c r="U25" s="9"/>
      <c r="V25" s="9"/>
      <c r="W25" s="9"/>
      <c r="X25" s="9"/>
      <c r="Y25" s="9"/>
      <c r="Z25" s="9"/>
    </row>
    <row r="26" ht="15.75" customHeight="1">
      <c r="A26" s="11"/>
      <c r="B26" s="11"/>
      <c r="C26" s="11"/>
      <c r="D26" s="11"/>
      <c r="E26" s="11"/>
      <c r="F26" s="9"/>
      <c r="G26" s="11"/>
      <c r="H26" s="11"/>
      <c r="I26" s="11"/>
      <c r="J26" s="11"/>
      <c r="K26" s="9"/>
      <c r="L26" s="11"/>
      <c r="M26" s="9"/>
      <c r="N26" s="9"/>
      <c r="O26" s="9"/>
      <c r="P26" s="9"/>
      <c r="Q26" s="9"/>
      <c r="R26" s="9"/>
      <c r="S26" s="9"/>
      <c r="T26" s="9"/>
      <c r="U26" s="9"/>
      <c r="V26" s="9"/>
      <c r="W26" s="9"/>
      <c r="X26" s="9"/>
      <c r="Y26" s="9"/>
      <c r="Z26" s="9"/>
    </row>
    <row r="27" ht="15.75" customHeight="1">
      <c r="A27" s="11"/>
      <c r="B27" s="11"/>
      <c r="C27" s="11"/>
      <c r="D27" s="11"/>
      <c r="E27" s="11"/>
      <c r="F27" s="9"/>
      <c r="G27" s="11"/>
      <c r="H27" s="11"/>
      <c r="I27" s="11"/>
      <c r="J27" s="11"/>
      <c r="K27" s="9"/>
      <c r="L27" s="11"/>
      <c r="M27" s="9"/>
      <c r="N27" s="9"/>
      <c r="O27" s="9"/>
      <c r="P27" s="9"/>
      <c r="Q27" s="9"/>
      <c r="R27" s="9"/>
      <c r="S27" s="9"/>
      <c r="T27" s="9"/>
      <c r="U27" s="9"/>
      <c r="V27" s="9"/>
      <c r="W27" s="9"/>
      <c r="X27" s="9"/>
      <c r="Y27" s="9"/>
      <c r="Z27" s="9"/>
    </row>
    <row r="28" ht="15.75" customHeight="1">
      <c r="A28" s="11"/>
      <c r="B28" s="11"/>
      <c r="C28" s="11"/>
      <c r="D28" s="11"/>
      <c r="E28" s="11"/>
      <c r="F28" s="9"/>
      <c r="G28" s="11"/>
      <c r="H28" s="11"/>
      <c r="I28" s="11"/>
      <c r="J28" s="11"/>
      <c r="K28" s="9"/>
      <c r="L28" s="11"/>
      <c r="M28" s="9"/>
      <c r="N28" s="9"/>
      <c r="O28" s="9"/>
      <c r="P28" s="9"/>
      <c r="Q28" s="9"/>
      <c r="R28" s="9"/>
      <c r="S28" s="9"/>
      <c r="T28" s="9"/>
      <c r="U28" s="9"/>
      <c r="V28" s="9"/>
      <c r="W28" s="9"/>
      <c r="X28" s="9"/>
      <c r="Y28" s="9"/>
      <c r="Z28" s="9"/>
    </row>
    <row r="29" ht="15.75" customHeight="1">
      <c r="A29" s="11"/>
      <c r="B29" s="11"/>
      <c r="C29" s="11"/>
      <c r="D29" s="11"/>
      <c r="E29" s="11"/>
      <c r="F29" s="9"/>
      <c r="G29" s="11"/>
      <c r="H29" s="11"/>
      <c r="I29" s="11"/>
      <c r="J29" s="11"/>
      <c r="K29" s="9"/>
      <c r="L29" s="11"/>
      <c r="M29" s="9"/>
      <c r="N29" s="9"/>
      <c r="O29" s="9"/>
      <c r="P29" s="9"/>
      <c r="Q29" s="9"/>
      <c r="R29" s="9"/>
      <c r="S29" s="9"/>
      <c r="T29" s="9"/>
      <c r="U29" s="9"/>
      <c r="V29" s="9"/>
      <c r="W29" s="9"/>
      <c r="X29" s="9"/>
      <c r="Y29" s="9"/>
      <c r="Z29" s="9"/>
    </row>
    <row r="30" ht="15.75" customHeight="1">
      <c r="A30" s="11"/>
      <c r="B30" s="11"/>
      <c r="C30" s="11"/>
      <c r="D30" s="11"/>
      <c r="E30" s="11"/>
      <c r="F30" s="9"/>
      <c r="G30" s="11"/>
      <c r="H30" s="11"/>
      <c r="I30" s="11"/>
      <c r="J30" s="11"/>
      <c r="K30" s="9"/>
      <c r="L30" s="11"/>
      <c r="M30" s="9"/>
      <c r="N30" s="9"/>
      <c r="O30" s="9"/>
      <c r="P30" s="9"/>
      <c r="Q30" s="9"/>
      <c r="R30" s="9"/>
      <c r="S30" s="9"/>
      <c r="T30" s="9"/>
      <c r="U30" s="9"/>
      <c r="V30" s="9"/>
      <c r="W30" s="9"/>
      <c r="X30" s="9"/>
      <c r="Y30" s="9"/>
      <c r="Z30" s="9"/>
    </row>
    <row r="31" ht="15.75" customHeight="1">
      <c r="A31" s="11"/>
      <c r="B31" s="11"/>
      <c r="C31" s="11"/>
      <c r="D31" s="11"/>
      <c r="E31" s="11"/>
      <c r="F31" s="9"/>
      <c r="G31" s="11"/>
      <c r="H31" s="11"/>
      <c r="I31" s="11"/>
      <c r="J31" s="11"/>
      <c r="K31" s="9"/>
      <c r="L31" s="11"/>
      <c r="M31" s="9"/>
      <c r="N31" s="9"/>
      <c r="O31" s="9"/>
      <c r="P31" s="9"/>
      <c r="Q31" s="9"/>
      <c r="R31" s="9"/>
      <c r="S31" s="9"/>
      <c r="T31" s="9"/>
      <c r="U31" s="9"/>
      <c r="V31" s="9"/>
      <c r="W31" s="9"/>
      <c r="X31" s="9"/>
      <c r="Y31" s="9"/>
      <c r="Z31" s="9"/>
    </row>
    <row r="32" ht="15.75" customHeight="1">
      <c r="A32" s="11"/>
      <c r="B32" s="11"/>
      <c r="C32" s="11"/>
      <c r="D32" s="11"/>
      <c r="E32" s="11"/>
      <c r="F32" s="9"/>
      <c r="G32" s="11"/>
      <c r="H32" s="11"/>
      <c r="I32" s="11"/>
      <c r="J32" s="11"/>
      <c r="K32" s="9"/>
      <c r="L32" s="11"/>
      <c r="M32" s="9"/>
      <c r="N32" s="9"/>
      <c r="O32" s="9"/>
      <c r="P32" s="9"/>
      <c r="Q32" s="9"/>
      <c r="R32" s="9"/>
      <c r="S32" s="9"/>
      <c r="T32" s="9"/>
      <c r="U32" s="9"/>
      <c r="V32" s="9"/>
      <c r="W32" s="9"/>
      <c r="X32" s="9"/>
      <c r="Y32" s="9"/>
      <c r="Z32" s="9"/>
    </row>
    <row r="33" ht="15.75" customHeight="1">
      <c r="A33" s="11"/>
      <c r="B33" s="11"/>
      <c r="C33" s="11"/>
      <c r="D33" s="11"/>
      <c r="E33" s="11"/>
      <c r="F33" s="9"/>
      <c r="G33" s="11"/>
      <c r="H33" s="11"/>
      <c r="I33" s="11"/>
      <c r="J33" s="11"/>
      <c r="K33" s="9"/>
      <c r="L33" s="11"/>
      <c r="M33" s="9"/>
      <c r="N33" s="9"/>
      <c r="O33" s="9"/>
      <c r="P33" s="9"/>
      <c r="Q33" s="9"/>
      <c r="R33" s="9"/>
      <c r="S33" s="9"/>
      <c r="T33" s="9"/>
      <c r="U33" s="9"/>
      <c r="V33" s="9"/>
      <c r="W33" s="9"/>
      <c r="X33" s="9"/>
      <c r="Y33" s="9"/>
      <c r="Z33" s="9"/>
    </row>
    <row r="34" ht="15.75" customHeight="1">
      <c r="A34" s="11"/>
      <c r="B34" s="11"/>
      <c r="C34" s="11"/>
      <c r="D34" s="11"/>
      <c r="E34" s="11"/>
      <c r="F34" s="9"/>
      <c r="G34" s="11"/>
      <c r="H34" s="11"/>
      <c r="I34" s="11"/>
      <c r="J34" s="11"/>
      <c r="K34" s="9"/>
      <c r="L34" s="11"/>
      <c r="M34" s="9"/>
      <c r="N34" s="9"/>
      <c r="O34" s="9"/>
      <c r="P34" s="9"/>
      <c r="Q34" s="9"/>
      <c r="R34" s="9"/>
      <c r="S34" s="9"/>
      <c r="T34" s="9"/>
      <c r="U34" s="9"/>
      <c r="V34" s="9"/>
      <c r="W34" s="9"/>
      <c r="X34" s="9"/>
      <c r="Y34" s="9"/>
      <c r="Z34" s="9"/>
    </row>
    <row r="35" ht="15.75" customHeight="1">
      <c r="A35" s="11"/>
      <c r="B35" s="11"/>
      <c r="C35" s="11"/>
      <c r="D35" s="11"/>
      <c r="E35" s="11"/>
      <c r="F35" s="9"/>
      <c r="G35" s="11"/>
      <c r="H35" s="11"/>
      <c r="I35" s="11"/>
      <c r="J35" s="11"/>
      <c r="K35" s="9"/>
      <c r="L35" s="11"/>
      <c r="M35" s="9"/>
      <c r="N35" s="9"/>
      <c r="O35" s="9"/>
      <c r="P35" s="9"/>
      <c r="Q35" s="9"/>
      <c r="R35" s="9"/>
      <c r="S35" s="9"/>
      <c r="T35" s="9"/>
      <c r="U35" s="9"/>
      <c r="V35" s="9"/>
      <c r="W35" s="9"/>
      <c r="X35" s="9"/>
      <c r="Y35" s="9"/>
      <c r="Z35" s="9"/>
    </row>
    <row r="36" ht="15.75" customHeight="1">
      <c r="A36" s="11"/>
      <c r="B36" s="11"/>
      <c r="C36" s="11"/>
      <c r="D36" s="11"/>
      <c r="E36" s="11"/>
      <c r="F36" s="9"/>
      <c r="G36" s="11"/>
      <c r="H36" s="11"/>
      <c r="I36" s="11"/>
      <c r="J36" s="11"/>
      <c r="K36" s="9"/>
      <c r="L36" s="11"/>
      <c r="M36" s="9"/>
      <c r="N36" s="9"/>
      <c r="O36" s="9"/>
      <c r="P36" s="9"/>
      <c r="Q36" s="9"/>
      <c r="R36" s="9"/>
      <c r="S36" s="9"/>
      <c r="T36" s="9"/>
      <c r="U36" s="9"/>
      <c r="V36" s="9"/>
      <c r="W36" s="9"/>
      <c r="X36" s="9"/>
      <c r="Y36" s="9"/>
      <c r="Z36" s="9"/>
    </row>
    <row r="37" ht="15.75" customHeight="1">
      <c r="A37" s="11"/>
      <c r="B37" s="11"/>
      <c r="C37" s="11"/>
      <c r="D37" s="11"/>
      <c r="E37" s="11"/>
      <c r="F37" s="9"/>
      <c r="G37" s="11"/>
      <c r="H37" s="11"/>
      <c r="I37" s="11"/>
      <c r="J37" s="11"/>
      <c r="K37" s="9"/>
      <c r="L37" s="11"/>
      <c r="M37" s="9"/>
      <c r="N37" s="9"/>
      <c r="O37" s="9"/>
      <c r="P37" s="9"/>
      <c r="Q37" s="9"/>
      <c r="R37" s="9"/>
      <c r="S37" s="9"/>
      <c r="T37" s="9"/>
      <c r="U37" s="9"/>
      <c r="V37" s="9"/>
      <c r="W37" s="9"/>
      <c r="X37" s="9"/>
      <c r="Y37" s="9"/>
      <c r="Z37" s="9"/>
    </row>
    <row r="38" ht="15.75" customHeight="1">
      <c r="A38" s="11"/>
      <c r="B38" s="11"/>
      <c r="C38" s="11"/>
      <c r="D38" s="11"/>
      <c r="E38" s="11"/>
      <c r="F38" s="9"/>
      <c r="G38" s="11"/>
      <c r="H38" s="11"/>
      <c r="I38" s="11"/>
      <c r="J38" s="11"/>
      <c r="K38" s="9"/>
      <c r="L38" s="11"/>
      <c r="M38" s="9"/>
      <c r="N38" s="9"/>
      <c r="O38" s="9"/>
      <c r="P38" s="9"/>
      <c r="Q38" s="9"/>
      <c r="R38" s="9"/>
      <c r="S38" s="9"/>
      <c r="T38" s="9"/>
      <c r="U38" s="9"/>
      <c r="V38" s="9"/>
      <c r="W38" s="9"/>
      <c r="X38" s="9"/>
      <c r="Y38" s="9"/>
      <c r="Z38" s="9"/>
    </row>
    <row r="39" ht="15.75" customHeight="1">
      <c r="A39" s="11"/>
      <c r="B39" s="11"/>
      <c r="C39" s="11"/>
      <c r="D39" s="11"/>
      <c r="E39" s="11"/>
      <c r="F39" s="9"/>
      <c r="G39" s="11"/>
      <c r="H39" s="11"/>
      <c r="I39" s="11"/>
      <c r="J39" s="11"/>
      <c r="K39" s="9"/>
      <c r="L39" s="11"/>
      <c r="M39" s="9"/>
      <c r="N39" s="9"/>
      <c r="O39" s="9"/>
      <c r="P39" s="9"/>
      <c r="Q39" s="9"/>
      <c r="R39" s="9"/>
      <c r="S39" s="9"/>
      <c r="T39" s="9"/>
      <c r="U39" s="9"/>
      <c r="V39" s="9"/>
      <c r="W39" s="9"/>
      <c r="X39" s="9"/>
      <c r="Y39" s="9"/>
      <c r="Z39" s="9"/>
    </row>
    <row r="40" ht="15.75" customHeight="1">
      <c r="A40" s="11"/>
      <c r="B40" s="11"/>
      <c r="C40" s="11"/>
      <c r="D40" s="11"/>
      <c r="E40" s="11"/>
      <c r="F40" s="9"/>
      <c r="G40" s="11"/>
      <c r="H40" s="11"/>
      <c r="I40" s="11"/>
      <c r="J40" s="11"/>
      <c r="K40" s="9"/>
      <c r="L40" s="11"/>
      <c r="M40" s="9"/>
      <c r="N40" s="9"/>
      <c r="O40" s="9"/>
      <c r="P40" s="9"/>
      <c r="Q40" s="9"/>
      <c r="R40" s="9"/>
      <c r="S40" s="9"/>
      <c r="T40" s="9"/>
      <c r="U40" s="9"/>
      <c r="V40" s="9"/>
      <c r="W40" s="9"/>
      <c r="X40" s="9"/>
      <c r="Y40" s="9"/>
      <c r="Z40" s="9"/>
    </row>
    <row r="41" ht="15.75" customHeight="1">
      <c r="A41" s="11"/>
      <c r="B41" s="11"/>
      <c r="C41" s="11"/>
      <c r="D41" s="11"/>
      <c r="E41" s="11"/>
      <c r="F41" s="9"/>
      <c r="G41" s="11"/>
      <c r="H41" s="11"/>
      <c r="I41" s="11"/>
      <c r="J41" s="11"/>
      <c r="K41" s="9"/>
      <c r="L41" s="11"/>
      <c r="M41" s="9"/>
      <c r="N41" s="9"/>
      <c r="O41" s="9"/>
      <c r="P41" s="9"/>
      <c r="Q41" s="9"/>
      <c r="R41" s="9"/>
      <c r="S41" s="9"/>
      <c r="T41" s="9"/>
      <c r="U41" s="9"/>
      <c r="V41" s="9"/>
      <c r="W41" s="9"/>
      <c r="X41" s="9"/>
      <c r="Y41" s="9"/>
      <c r="Z41" s="9"/>
    </row>
    <row r="42" ht="15.75" customHeight="1">
      <c r="A42" s="11"/>
      <c r="B42" s="11"/>
      <c r="C42" s="11"/>
      <c r="D42" s="11"/>
      <c r="E42" s="11"/>
      <c r="F42" s="9"/>
      <c r="G42" s="11"/>
      <c r="H42" s="11"/>
      <c r="I42" s="11"/>
      <c r="J42" s="11"/>
      <c r="K42" s="9"/>
      <c r="L42" s="11"/>
      <c r="M42" s="9"/>
      <c r="N42" s="9"/>
      <c r="O42" s="9"/>
      <c r="P42" s="9"/>
      <c r="Q42" s="9"/>
      <c r="R42" s="9"/>
      <c r="S42" s="9"/>
      <c r="T42" s="9"/>
      <c r="U42" s="9"/>
      <c r="V42" s="9"/>
      <c r="W42" s="9"/>
      <c r="X42" s="9"/>
      <c r="Y42" s="9"/>
      <c r="Z42" s="9"/>
    </row>
    <row r="43" ht="15.75" customHeight="1">
      <c r="A43" s="11"/>
      <c r="B43" s="11"/>
      <c r="C43" s="11"/>
      <c r="D43" s="11"/>
      <c r="E43" s="11"/>
      <c r="F43" s="9"/>
      <c r="G43" s="11"/>
      <c r="H43" s="11"/>
      <c r="I43" s="11"/>
      <c r="J43" s="11"/>
      <c r="K43" s="9"/>
      <c r="L43" s="11"/>
      <c r="M43" s="9"/>
      <c r="N43" s="9"/>
      <c r="O43" s="9"/>
      <c r="P43" s="9"/>
      <c r="Q43" s="9"/>
      <c r="R43" s="9"/>
      <c r="S43" s="9"/>
      <c r="T43" s="9"/>
      <c r="U43" s="9"/>
      <c r="V43" s="9"/>
      <c r="W43" s="9"/>
      <c r="X43" s="9"/>
      <c r="Y43" s="9"/>
      <c r="Z43" s="9"/>
    </row>
    <row r="44" ht="15.75" customHeight="1">
      <c r="A44" s="11"/>
      <c r="B44" s="11"/>
      <c r="C44" s="11"/>
      <c r="D44" s="11"/>
      <c r="E44" s="11"/>
      <c r="F44" s="9"/>
      <c r="G44" s="11"/>
      <c r="H44" s="11"/>
      <c r="I44" s="11"/>
      <c r="J44" s="11"/>
      <c r="K44" s="9"/>
      <c r="L44" s="11"/>
      <c r="M44" s="9"/>
      <c r="N44" s="9"/>
      <c r="O44" s="9"/>
      <c r="P44" s="9"/>
      <c r="Q44" s="9"/>
      <c r="R44" s="9"/>
      <c r="S44" s="9"/>
      <c r="T44" s="9"/>
      <c r="U44" s="9"/>
      <c r="V44" s="9"/>
      <c r="W44" s="9"/>
      <c r="X44" s="9"/>
      <c r="Y44" s="9"/>
      <c r="Z44" s="9"/>
    </row>
    <row r="45" ht="15.75" customHeight="1">
      <c r="A45" s="11"/>
      <c r="B45" s="11"/>
      <c r="C45" s="11"/>
      <c r="D45" s="11"/>
      <c r="E45" s="11"/>
      <c r="F45" s="9"/>
      <c r="G45" s="11"/>
      <c r="H45" s="11"/>
      <c r="I45" s="11"/>
      <c r="J45" s="11"/>
      <c r="K45" s="9"/>
      <c r="L45" s="11"/>
      <c r="M45" s="9"/>
      <c r="N45" s="9"/>
      <c r="O45" s="9"/>
      <c r="P45" s="9"/>
      <c r="Q45" s="9"/>
      <c r="R45" s="9"/>
      <c r="S45" s="9"/>
      <c r="T45" s="9"/>
      <c r="U45" s="9"/>
      <c r="V45" s="9"/>
      <c r="W45" s="9"/>
      <c r="X45" s="9"/>
      <c r="Y45" s="9"/>
      <c r="Z45" s="9"/>
    </row>
    <row r="46" ht="15.75" customHeight="1">
      <c r="A46" s="11"/>
      <c r="B46" s="11"/>
      <c r="C46" s="11"/>
      <c r="D46" s="11"/>
      <c r="E46" s="11"/>
      <c r="F46" s="9"/>
      <c r="G46" s="11"/>
      <c r="H46" s="11"/>
      <c r="I46" s="11"/>
      <c r="J46" s="11"/>
      <c r="K46" s="9"/>
      <c r="L46" s="11"/>
      <c r="M46" s="9"/>
      <c r="N46" s="9"/>
      <c r="O46" s="9"/>
      <c r="P46" s="9"/>
      <c r="Q46" s="9"/>
      <c r="R46" s="9"/>
      <c r="S46" s="9"/>
      <c r="T46" s="9"/>
      <c r="U46" s="9"/>
      <c r="V46" s="9"/>
      <c r="W46" s="9"/>
      <c r="X46" s="9"/>
      <c r="Y46" s="9"/>
      <c r="Z46" s="9"/>
    </row>
    <row r="47" ht="15.75" customHeight="1">
      <c r="A47" s="11"/>
      <c r="B47" s="11"/>
      <c r="C47" s="11"/>
      <c r="D47" s="11"/>
      <c r="E47" s="11"/>
      <c r="F47" s="9"/>
      <c r="G47" s="11"/>
      <c r="H47" s="11"/>
      <c r="I47" s="11"/>
      <c r="J47" s="11"/>
      <c r="K47" s="9"/>
      <c r="L47" s="11"/>
      <c r="M47" s="9"/>
      <c r="N47" s="9"/>
      <c r="O47" s="9"/>
      <c r="P47" s="9"/>
      <c r="Q47" s="9"/>
      <c r="R47" s="9"/>
      <c r="S47" s="9"/>
      <c r="T47" s="9"/>
      <c r="U47" s="9"/>
      <c r="V47" s="9"/>
      <c r="W47" s="9"/>
      <c r="X47" s="9"/>
      <c r="Y47" s="9"/>
      <c r="Z47" s="9"/>
    </row>
    <row r="48" ht="15.75" customHeight="1">
      <c r="A48" s="11"/>
      <c r="B48" s="11"/>
      <c r="C48" s="11"/>
      <c r="D48" s="11"/>
      <c r="E48" s="11"/>
      <c r="F48" s="9"/>
      <c r="G48" s="11"/>
      <c r="H48" s="11"/>
      <c r="I48" s="11"/>
      <c r="J48" s="11"/>
      <c r="K48" s="9"/>
      <c r="L48" s="11"/>
      <c r="M48" s="9"/>
      <c r="N48" s="9"/>
      <c r="O48" s="9"/>
      <c r="P48" s="9"/>
      <c r="Q48" s="9"/>
      <c r="R48" s="9"/>
      <c r="S48" s="9"/>
      <c r="T48" s="9"/>
      <c r="U48" s="9"/>
      <c r="V48" s="9"/>
      <c r="W48" s="9"/>
      <c r="X48" s="9"/>
      <c r="Y48" s="9"/>
      <c r="Z48" s="9"/>
    </row>
    <row r="49" ht="15.75" customHeight="1">
      <c r="A49" s="11"/>
      <c r="B49" s="11"/>
      <c r="C49" s="11"/>
      <c r="D49" s="11"/>
      <c r="E49" s="11"/>
      <c r="F49" s="9"/>
      <c r="G49" s="11"/>
      <c r="H49" s="11"/>
      <c r="I49" s="11"/>
      <c r="J49" s="11"/>
      <c r="K49" s="9"/>
      <c r="L49" s="11"/>
      <c r="M49" s="9"/>
      <c r="N49" s="9"/>
      <c r="O49" s="9"/>
      <c r="P49" s="9"/>
      <c r="Q49" s="9"/>
      <c r="R49" s="9"/>
      <c r="S49" s="9"/>
      <c r="T49" s="9"/>
      <c r="U49" s="9"/>
      <c r="V49" s="9"/>
      <c r="W49" s="9"/>
      <c r="X49" s="9"/>
      <c r="Y49" s="9"/>
      <c r="Z49" s="9"/>
    </row>
    <row r="50" ht="15.75" customHeight="1">
      <c r="A50" s="11"/>
      <c r="B50" s="11"/>
      <c r="C50" s="11"/>
      <c r="D50" s="11"/>
      <c r="E50" s="11"/>
      <c r="F50" s="9"/>
      <c r="G50" s="11"/>
      <c r="H50" s="11"/>
      <c r="I50" s="11"/>
      <c r="J50" s="11"/>
      <c r="K50" s="9"/>
      <c r="L50" s="11"/>
      <c r="M50" s="9"/>
      <c r="N50" s="9"/>
      <c r="O50" s="9"/>
      <c r="P50" s="9"/>
      <c r="Q50" s="9"/>
      <c r="R50" s="9"/>
      <c r="S50" s="9"/>
      <c r="T50" s="9"/>
      <c r="U50" s="9"/>
      <c r="V50" s="9"/>
      <c r="W50" s="9"/>
      <c r="X50" s="9"/>
      <c r="Y50" s="9"/>
      <c r="Z50" s="9"/>
    </row>
    <row r="51" ht="15.75" customHeight="1">
      <c r="A51" s="11"/>
      <c r="B51" s="11"/>
      <c r="C51" s="11"/>
      <c r="D51" s="11"/>
      <c r="E51" s="11"/>
      <c r="F51" s="9"/>
      <c r="G51" s="11"/>
      <c r="H51" s="11"/>
      <c r="I51" s="11"/>
      <c r="J51" s="11"/>
      <c r="K51" s="9"/>
      <c r="L51" s="11"/>
      <c r="M51" s="9"/>
      <c r="N51" s="9"/>
      <c r="O51" s="9"/>
      <c r="P51" s="9"/>
      <c r="Q51" s="9"/>
      <c r="R51" s="9"/>
      <c r="S51" s="9"/>
      <c r="T51" s="9"/>
      <c r="U51" s="9"/>
      <c r="V51" s="9"/>
      <c r="W51" s="9"/>
      <c r="X51" s="9"/>
      <c r="Y51" s="9"/>
      <c r="Z51" s="9"/>
    </row>
    <row r="52" ht="15.75" customHeight="1">
      <c r="A52" s="11"/>
      <c r="B52" s="11"/>
      <c r="C52" s="11"/>
      <c r="D52" s="11"/>
      <c r="E52" s="11"/>
      <c r="F52" s="9"/>
      <c r="G52" s="11"/>
      <c r="H52" s="11"/>
      <c r="I52" s="11"/>
      <c r="J52" s="11"/>
      <c r="K52" s="9"/>
      <c r="L52" s="11"/>
      <c r="M52" s="9"/>
      <c r="N52" s="9"/>
      <c r="O52" s="9"/>
      <c r="P52" s="9"/>
      <c r="Q52" s="9"/>
      <c r="R52" s="9"/>
      <c r="S52" s="9"/>
      <c r="T52" s="9"/>
      <c r="U52" s="9"/>
      <c r="V52" s="9"/>
      <c r="W52" s="9"/>
      <c r="X52" s="9"/>
      <c r="Y52" s="9"/>
      <c r="Z52" s="9"/>
    </row>
    <row r="53" ht="15.75" customHeight="1">
      <c r="A53" s="11"/>
      <c r="B53" s="11"/>
      <c r="C53" s="11"/>
      <c r="D53" s="11"/>
      <c r="E53" s="11"/>
      <c r="F53" s="9"/>
      <c r="G53" s="11"/>
      <c r="H53" s="11"/>
      <c r="I53" s="11"/>
      <c r="J53" s="11"/>
      <c r="K53" s="9"/>
      <c r="L53" s="11"/>
      <c r="M53" s="9"/>
      <c r="N53" s="9"/>
      <c r="O53" s="9"/>
      <c r="P53" s="9"/>
      <c r="Q53" s="9"/>
      <c r="R53" s="9"/>
      <c r="S53" s="9"/>
      <c r="T53" s="9"/>
      <c r="U53" s="9"/>
      <c r="V53" s="9"/>
      <c r="W53" s="9"/>
      <c r="X53" s="9"/>
      <c r="Y53" s="9"/>
      <c r="Z53" s="9"/>
    </row>
    <row r="54" ht="15.75" customHeight="1">
      <c r="A54" s="11"/>
      <c r="B54" s="11"/>
      <c r="C54" s="11"/>
      <c r="D54" s="11"/>
      <c r="E54" s="11"/>
      <c r="F54" s="9"/>
      <c r="G54" s="11"/>
      <c r="H54" s="11"/>
      <c r="I54" s="11"/>
      <c r="J54" s="11"/>
      <c r="K54" s="9"/>
      <c r="L54" s="11"/>
      <c r="M54" s="9"/>
      <c r="N54" s="9"/>
      <c r="O54" s="9"/>
      <c r="P54" s="9"/>
      <c r="Q54" s="9"/>
      <c r="R54" s="9"/>
      <c r="S54" s="9"/>
      <c r="T54" s="9"/>
      <c r="U54" s="9"/>
      <c r="V54" s="9"/>
      <c r="W54" s="9"/>
      <c r="X54" s="9"/>
      <c r="Y54" s="9"/>
      <c r="Z54" s="9"/>
    </row>
    <row r="55" ht="15.75" customHeight="1">
      <c r="A55" s="11"/>
      <c r="B55" s="11"/>
      <c r="C55" s="11"/>
      <c r="D55" s="11"/>
      <c r="E55" s="11"/>
      <c r="F55" s="9"/>
      <c r="G55" s="11"/>
      <c r="H55" s="11"/>
      <c r="I55" s="11"/>
      <c r="J55" s="11"/>
      <c r="K55" s="9"/>
      <c r="L55" s="11"/>
      <c r="M55" s="9"/>
      <c r="N55" s="9"/>
      <c r="O55" s="9"/>
      <c r="P55" s="9"/>
      <c r="Q55" s="9"/>
      <c r="R55" s="9"/>
      <c r="S55" s="9"/>
      <c r="T55" s="9"/>
      <c r="U55" s="9"/>
      <c r="V55" s="9"/>
      <c r="W55" s="9"/>
      <c r="X55" s="9"/>
      <c r="Y55" s="9"/>
      <c r="Z55" s="9"/>
    </row>
    <row r="56" ht="15.75" customHeight="1">
      <c r="A56" s="11"/>
      <c r="B56" s="11"/>
      <c r="C56" s="11"/>
      <c r="D56" s="11"/>
      <c r="E56" s="11"/>
      <c r="F56" s="9"/>
      <c r="G56" s="11"/>
      <c r="H56" s="11"/>
      <c r="I56" s="11"/>
      <c r="J56" s="11"/>
      <c r="K56" s="9"/>
      <c r="L56" s="11"/>
      <c r="M56" s="9"/>
      <c r="N56" s="9"/>
      <c r="O56" s="9"/>
      <c r="P56" s="9"/>
      <c r="Q56" s="9"/>
      <c r="R56" s="9"/>
      <c r="S56" s="9"/>
      <c r="T56" s="9"/>
      <c r="U56" s="9"/>
      <c r="V56" s="9"/>
      <c r="W56" s="9"/>
      <c r="X56" s="9"/>
      <c r="Y56" s="9"/>
      <c r="Z56" s="9"/>
    </row>
    <row r="57" ht="15.75" customHeight="1">
      <c r="A57" s="11"/>
      <c r="B57" s="11"/>
      <c r="C57" s="11"/>
      <c r="D57" s="11"/>
      <c r="E57" s="11"/>
      <c r="F57" s="9"/>
      <c r="G57" s="11"/>
      <c r="H57" s="11"/>
      <c r="I57" s="11"/>
      <c r="J57" s="11"/>
      <c r="K57" s="9"/>
      <c r="L57" s="11"/>
      <c r="M57" s="9"/>
      <c r="N57" s="9"/>
      <c r="O57" s="9"/>
      <c r="P57" s="9"/>
      <c r="Q57" s="9"/>
      <c r="R57" s="9"/>
      <c r="S57" s="9"/>
      <c r="T57" s="9"/>
      <c r="U57" s="9"/>
      <c r="V57" s="9"/>
      <c r="W57" s="9"/>
      <c r="X57" s="9"/>
      <c r="Y57" s="9"/>
      <c r="Z57" s="9"/>
    </row>
    <row r="58" ht="15.75" customHeight="1">
      <c r="A58" s="11"/>
      <c r="B58" s="11"/>
      <c r="C58" s="11"/>
      <c r="D58" s="11"/>
      <c r="E58" s="11"/>
      <c r="F58" s="9"/>
      <c r="G58" s="11"/>
      <c r="H58" s="11"/>
      <c r="I58" s="11"/>
      <c r="J58" s="11"/>
      <c r="K58" s="9"/>
      <c r="L58" s="11"/>
      <c r="M58" s="9"/>
      <c r="N58" s="9"/>
      <c r="O58" s="9"/>
      <c r="P58" s="9"/>
      <c r="Q58" s="9"/>
      <c r="R58" s="9"/>
      <c r="S58" s="9"/>
      <c r="T58" s="9"/>
      <c r="U58" s="9"/>
      <c r="V58" s="9"/>
      <c r="W58" s="9"/>
      <c r="X58" s="9"/>
      <c r="Y58" s="9"/>
      <c r="Z58" s="9"/>
    </row>
    <row r="59" ht="15.75" customHeight="1">
      <c r="A59" s="11"/>
      <c r="B59" s="11"/>
      <c r="C59" s="11"/>
      <c r="D59" s="11"/>
      <c r="E59" s="11"/>
      <c r="F59" s="9"/>
      <c r="G59" s="11"/>
      <c r="H59" s="11"/>
      <c r="I59" s="11"/>
      <c r="J59" s="11"/>
      <c r="K59" s="9"/>
      <c r="L59" s="11"/>
      <c r="M59" s="9"/>
      <c r="N59" s="9"/>
      <c r="O59" s="9"/>
      <c r="P59" s="9"/>
      <c r="Q59" s="9"/>
      <c r="R59" s="9"/>
      <c r="S59" s="9"/>
      <c r="T59" s="9"/>
      <c r="U59" s="9"/>
      <c r="V59" s="9"/>
      <c r="W59" s="9"/>
      <c r="X59" s="9"/>
      <c r="Y59" s="9"/>
      <c r="Z59" s="9"/>
    </row>
    <row r="60" ht="15.75" customHeight="1">
      <c r="A60" s="11"/>
      <c r="B60" s="11"/>
      <c r="C60" s="11"/>
      <c r="D60" s="11"/>
      <c r="E60" s="11"/>
      <c r="F60" s="9"/>
      <c r="G60" s="11"/>
      <c r="H60" s="11"/>
      <c r="I60" s="11"/>
      <c r="J60" s="11"/>
      <c r="K60" s="9"/>
      <c r="L60" s="11"/>
      <c r="M60" s="9"/>
      <c r="N60" s="9"/>
      <c r="O60" s="9"/>
      <c r="P60" s="9"/>
      <c r="Q60" s="9"/>
      <c r="R60" s="9"/>
      <c r="S60" s="9"/>
      <c r="T60" s="9"/>
      <c r="U60" s="9"/>
      <c r="V60" s="9"/>
      <c r="W60" s="9"/>
      <c r="X60" s="9"/>
      <c r="Y60" s="9"/>
      <c r="Z60" s="9"/>
    </row>
    <row r="61" ht="15.75" customHeight="1">
      <c r="A61" s="11"/>
      <c r="B61" s="11"/>
      <c r="C61" s="11"/>
      <c r="D61" s="11"/>
      <c r="E61" s="11"/>
      <c r="F61" s="9"/>
      <c r="G61" s="11"/>
      <c r="H61" s="11"/>
      <c r="I61" s="11"/>
      <c r="J61" s="11"/>
      <c r="K61" s="9"/>
      <c r="L61" s="11"/>
      <c r="M61" s="9"/>
      <c r="N61" s="9"/>
      <c r="O61" s="9"/>
      <c r="P61" s="9"/>
      <c r="Q61" s="9"/>
      <c r="R61" s="9"/>
      <c r="S61" s="9"/>
      <c r="T61" s="9"/>
      <c r="U61" s="9"/>
      <c r="V61" s="9"/>
      <c r="W61" s="9"/>
      <c r="X61" s="9"/>
      <c r="Y61" s="9"/>
      <c r="Z61" s="9"/>
    </row>
    <row r="62" ht="15.75" customHeight="1">
      <c r="A62" s="11"/>
      <c r="B62" s="11"/>
      <c r="C62" s="11"/>
      <c r="D62" s="11"/>
      <c r="E62" s="11"/>
      <c r="F62" s="9"/>
      <c r="G62" s="11"/>
      <c r="H62" s="11"/>
      <c r="I62" s="11"/>
      <c r="J62" s="11"/>
      <c r="K62" s="9"/>
      <c r="L62" s="11"/>
      <c r="M62" s="9"/>
      <c r="N62" s="9"/>
      <c r="O62" s="9"/>
      <c r="P62" s="9"/>
      <c r="Q62" s="9"/>
      <c r="R62" s="9"/>
      <c r="S62" s="9"/>
      <c r="T62" s="9"/>
      <c r="U62" s="9"/>
      <c r="V62" s="9"/>
      <c r="W62" s="9"/>
      <c r="X62" s="9"/>
      <c r="Y62" s="9"/>
      <c r="Z62" s="9"/>
    </row>
    <row r="63" ht="15.75" customHeight="1">
      <c r="A63" s="11"/>
      <c r="B63" s="11"/>
      <c r="C63" s="11"/>
      <c r="D63" s="11"/>
      <c r="E63" s="11"/>
      <c r="F63" s="9"/>
      <c r="G63" s="11"/>
      <c r="H63" s="11"/>
      <c r="I63" s="11"/>
      <c r="J63" s="11"/>
      <c r="K63" s="9"/>
      <c r="L63" s="11"/>
      <c r="M63" s="9"/>
      <c r="N63" s="9"/>
      <c r="O63" s="9"/>
      <c r="P63" s="9"/>
      <c r="Q63" s="9"/>
      <c r="R63" s="9"/>
      <c r="S63" s="9"/>
      <c r="T63" s="9"/>
      <c r="U63" s="9"/>
      <c r="V63" s="9"/>
      <c r="W63" s="9"/>
      <c r="X63" s="9"/>
      <c r="Y63" s="9"/>
      <c r="Z63" s="9"/>
    </row>
    <row r="64" ht="15.75" customHeight="1">
      <c r="A64" s="11"/>
      <c r="B64" s="11"/>
      <c r="C64" s="11"/>
      <c r="D64" s="11"/>
      <c r="E64" s="11"/>
      <c r="F64" s="9"/>
      <c r="G64" s="11"/>
      <c r="H64" s="11"/>
      <c r="I64" s="11"/>
      <c r="J64" s="11"/>
      <c r="K64" s="9"/>
      <c r="L64" s="11"/>
      <c r="M64" s="9"/>
      <c r="N64" s="9"/>
      <c r="O64" s="9"/>
      <c r="P64" s="9"/>
      <c r="Q64" s="9"/>
      <c r="R64" s="9"/>
      <c r="S64" s="9"/>
      <c r="T64" s="9"/>
      <c r="U64" s="9"/>
      <c r="V64" s="9"/>
      <c r="W64" s="9"/>
      <c r="X64" s="9"/>
      <c r="Y64" s="9"/>
      <c r="Z64" s="9"/>
    </row>
    <row r="65" ht="15.75" customHeight="1">
      <c r="A65" s="11"/>
      <c r="B65" s="11"/>
      <c r="C65" s="11"/>
      <c r="D65" s="11"/>
      <c r="E65" s="11"/>
      <c r="F65" s="9"/>
      <c r="G65" s="11"/>
      <c r="H65" s="11"/>
      <c r="I65" s="11"/>
      <c r="J65" s="11"/>
      <c r="K65" s="9"/>
      <c r="L65" s="11"/>
      <c r="M65" s="9"/>
      <c r="N65" s="9"/>
      <c r="O65" s="9"/>
      <c r="P65" s="9"/>
      <c r="Q65" s="9"/>
      <c r="R65" s="9"/>
      <c r="S65" s="9"/>
      <c r="T65" s="9"/>
      <c r="U65" s="9"/>
      <c r="V65" s="9"/>
      <c r="W65" s="9"/>
      <c r="X65" s="9"/>
      <c r="Y65" s="9"/>
      <c r="Z65" s="9"/>
    </row>
    <row r="66" ht="15.75" customHeight="1">
      <c r="A66" s="11"/>
      <c r="B66" s="11"/>
      <c r="C66" s="11"/>
      <c r="D66" s="11"/>
      <c r="E66" s="11"/>
      <c r="F66" s="9"/>
      <c r="G66" s="11"/>
      <c r="H66" s="11"/>
      <c r="I66" s="11"/>
      <c r="J66" s="11"/>
      <c r="K66" s="9"/>
      <c r="L66" s="11"/>
      <c r="M66" s="9"/>
      <c r="N66" s="9"/>
      <c r="O66" s="9"/>
      <c r="P66" s="9"/>
      <c r="Q66" s="9"/>
      <c r="R66" s="9"/>
      <c r="S66" s="9"/>
      <c r="T66" s="9"/>
      <c r="U66" s="9"/>
      <c r="V66" s="9"/>
      <c r="W66" s="9"/>
      <c r="X66" s="9"/>
      <c r="Y66" s="9"/>
      <c r="Z66" s="9"/>
    </row>
    <row r="67" ht="15.75" customHeight="1">
      <c r="A67" s="11"/>
      <c r="B67" s="11"/>
      <c r="C67" s="11"/>
      <c r="D67" s="11"/>
      <c r="E67" s="11"/>
      <c r="F67" s="9"/>
      <c r="G67" s="11"/>
      <c r="H67" s="11"/>
      <c r="I67" s="11"/>
      <c r="J67" s="11"/>
      <c r="K67" s="9"/>
      <c r="L67" s="11"/>
      <c r="M67" s="9"/>
      <c r="N67" s="9"/>
      <c r="O67" s="9"/>
      <c r="P67" s="9"/>
      <c r="Q67" s="9"/>
      <c r="R67" s="9"/>
      <c r="S67" s="9"/>
      <c r="T67" s="9"/>
      <c r="U67" s="9"/>
      <c r="V67" s="9"/>
      <c r="W67" s="9"/>
      <c r="X67" s="9"/>
      <c r="Y67" s="9"/>
      <c r="Z67" s="9"/>
    </row>
    <row r="68" ht="15.75" customHeight="1">
      <c r="A68" s="11"/>
      <c r="B68" s="11"/>
      <c r="C68" s="11"/>
      <c r="D68" s="11"/>
      <c r="E68" s="11"/>
      <c r="F68" s="9"/>
      <c r="G68" s="11"/>
      <c r="H68" s="11"/>
      <c r="I68" s="11"/>
      <c r="J68" s="11"/>
      <c r="K68" s="9"/>
      <c r="L68" s="11"/>
      <c r="M68" s="9"/>
      <c r="N68" s="9"/>
      <c r="O68" s="9"/>
      <c r="P68" s="9"/>
      <c r="Q68" s="9"/>
      <c r="R68" s="9"/>
      <c r="S68" s="9"/>
      <c r="T68" s="9"/>
      <c r="U68" s="9"/>
      <c r="V68" s="9"/>
      <c r="W68" s="9"/>
      <c r="X68" s="9"/>
      <c r="Y68" s="9"/>
      <c r="Z68" s="9"/>
    </row>
    <row r="69" ht="15.75" customHeight="1">
      <c r="A69" s="11"/>
      <c r="B69" s="11"/>
      <c r="C69" s="11"/>
      <c r="D69" s="11"/>
      <c r="E69" s="11"/>
      <c r="F69" s="9"/>
      <c r="G69" s="11"/>
      <c r="H69" s="11"/>
      <c r="I69" s="11"/>
      <c r="J69" s="11"/>
      <c r="K69" s="9"/>
      <c r="L69" s="11"/>
      <c r="M69" s="9"/>
      <c r="N69" s="9"/>
      <c r="O69" s="9"/>
      <c r="P69" s="9"/>
      <c r="Q69" s="9"/>
      <c r="R69" s="9"/>
      <c r="S69" s="9"/>
      <c r="T69" s="9"/>
      <c r="U69" s="9"/>
      <c r="V69" s="9"/>
      <c r="W69" s="9"/>
      <c r="X69" s="9"/>
      <c r="Y69" s="9"/>
      <c r="Z69" s="9"/>
    </row>
    <row r="70" ht="15.75" customHeight="1">
      <c r="A70" s="11"/>
      <c r="B70" s="11"/>
      <c r="C70" s="11"/>
      <c r="D70" s="11"/>
      <c r="E70" s="11"/>
      <c r="F70" s="9"/>
      <c r="G70" s="11"/>
      <c r="H70" s="11"/>
      <c r="I70" s="11"/>
      <c r="J70" s="11"/>
      <c r="K70" s="9"/>
      <c r="L70" s="11"/>
      <c r="M70" s="9"/>
      <c r="N70" s="9"/>
      <c r="O70" s="9"/>
      <c r="P70" s="9"/>
      <c r="Q70" s="9"/>
      <c r="R70" s="9"/>
      <c r="S70" s="9"/>
      <c r="T70" s="9"/>
      <c r="U70" s="9"/>
      <c r="V70" s="9"/>
      <c r="W70" s="9"/>
      <c r="X70" s="9"/>
      <c r="Y70" s="9"/>
      <c r="Z70" s="9"/>
    </row>
    <row r="71" ht="15.75" customHeight="1">
      <c r="A71" s="11"/>
      <c r="B71" s="11"/>
      <c r="C71" s="11"/>
      <c r="D71" s="11"/>
      <c r="E71" s="11"/>
      <c r="F71" s="9"/>
      <c r="G71" s="11"/>
      <c r="H71" s="11"/>
      <c r="I71" s="11"/>
      <c r="J71" s="11"/>
      <c r="K71" s="9"/>
      <c r="L71" s="11"/>
      <c r="M71" s="9"/>
      <c r="N71" s="9"/>
      <c r="O71" s="9"/>
      <c r="P71" s="9"/>
      <c r="Q71" s="9"/>
      <c r="R71" s="9"/>
      <c r="S71" s="9"/>
      <c r="T71" s="9"/>
      <c r="U71" s="9"/>
      <c r="V71" s="9"/>
      <c r="W71" s="9"/>
      <c r="X71" s="9"/>
      <c r="Y71" s="9"/>
      <c r="Z71" s="9"/>
    </row>
    <row r="72" ht="15.75" customHeight="1">
      <c r="A72" s="11"/>
      <c r="B72" s="11"/>
      <c r="C72" s="11"/>
      <c r="D72" s="11"/>
      <c r="E72" s="11"/>
      <c r="F72" s="9"/>
      <c r="G72" s="11"/>
      <c r="H72" s="11"/>
      <c r="I72" s="11"/>
      <c r="J72" s="11"/>
      <c r="K72" s="9"/>
      <c r="L72" s="11"/>
      <c r="M72" s="9"/>
      <c r="N72" s="9"/>
      <c r="O72" s="9"/>
      <c r="P72" s="9"/>
      <c r="Q72" s="9"/>
      <c r="R72" s="9"/>
      <c r="S72" s="9"/>
      <c r="T72" s="9"/>
      <c r="U72" s="9"/>
      <c r="V72" s="9"/>
      <c r="W72" s="9"/>
      <c r="X72" s="9"/>
      <c r="Y72" s="9"/>
      <c r="Z72" s="9"/>
    </row>
    <row r="73" ht="15.75" customHeight="1">
      <c r="A73" s="11"/>
      <c r="B73" s="11"/>
      <c r="C73" s="11"/>
      <c r="D73" s="11"/>
      <c r="E73" s="11"/>
      <c r="F73" s="9"/>
      <c r="G73" s="11"/>
      <c r="H73" s="11"/>
      <c r="I73" s="11"/>
      <c r="J73" s="11"/>
      <c r="K73" s="9"/>
      <c r="L73" s="11"/>
      <c r="M73" s="9"/>
      <c r="N73" s="9"/>
      <c r="O73" s="9"/>
      <c r="P73" s="9"/>
      <c r="Q73" s="9"/>
      <c r="R73" s="9"/>
      <c r="S73" s="9"/>
      <c r="T73" s="9"/>
      <c r="U73" s="9"/>
      <c r="V73" s="9"/>
      <c r="W73" s="9"/>
      <c r="X73" s="9"/>
      <c r="Y73" s="9"/>
      <c r="Z73" s="9"/>
    </row>
    <row r="74" ht="15.75" customHeight="1">
      <c r="A74" s="11"/>
      <c r="B74" s="11"/>
      <c r="C74" s="11"/>
      <c r="D74" s="11"/>
      <c r="E74" s="11"/>
      <c r="F74" s="9"/>
      <c r="G74" s="11"/>
      <c r="H74" s="11"/>
      <c r="I74" s="11"/>
      <c r="J74" s="11"/>
      <c r="K74" s="9"/>
      <c r="L74" s="11"/>
      <c r="M74" s="9"/>
      <c r="N74" s="9"/>
      <c r="O74" s="9"/>
      <c r="P74" s="9"/>
      <c r="Q74" s="9"/>
      <c r="R74" s="9"/>
      <c r="S74" s="9"/>
      <c r="T74" s="9"/>
      <c r="U74" s="9"/>
      <c r="V74" s="9"/>
      <c r="W74" s="9"/>
      <c r="X74" s="9"/>
      <c r="Y74" s="9"/>
      <c r="Z74" s="9"/>
    </row>
    <row r="75" ht="15.75" customHeight="1">
      <c r="A75" s="11"/>
      <c r="B75" s="11"/>
      <c r="C75" s="11"/>
      <c r="D75" s="11"/>
      <c r="E75" s="11"/>
      <c r="F75" s="9"/>
      <c r="G75" s="11"/>
      <c r="H75" s="11"/>
      <c r="I75" s="11"/>
      <c r="J75" s="11"/>
      <c r="K75" s="9"/>
      <c r="L75" s="11"/>
      <c r="M75" s="9"/>
      <c r="N75" s="9"/>
      <c r="O75" s="9"/>
      <c r="P75" s="9"/>
      <c r="Q75" s="9"/>
      <c r="R75" s="9"/>
      <c r="S75" s="9"/>
      <c r="T75" s="9"/>
      <c r="U75" s="9"/>
      <c r="V75" s="9"/>
      <c r="W75" s="9"/>
      <c r="X75" s="9"/>
      <c r="Y75" s="9"/>
      <c r="Z75" s="9"/>
    </row>
    <row r="76" ht="15.75" customHeight="1">
      <c r="A76" s="11"/>
      <c r="B76" s="11"/>
      <c r="C76" s="11"/>
      <c r="D76" s="11"/>
      <c r="E76" s="11"/>
      <c r="F76" s="9"/>
      <c r="G76" s="11"/>
      <c r="H76" s="11"/>
      <c r="I76" s="11"/>
      <c r="J76" s="11"/>
      <c r="K76" s="9"/>
      <c r="L76" s="11"/>
      <c r="M76" s="9"/>
      <c r="N76" s="9"/>
      <c r="O76" s="9"/>
      <c r="P76" s="9"/>
      <c r="Q76" s="9"/>
      <c r="R76" s="9"/>
      <c r="S76" s="9"/>
      <c r="T76" s="9"/>
      <c r="U76" s="9"/>
      <c r="V76" s="9"/>
      <c r="W76" s="9"/>
      <c r="X76" s="9"/>
      <c r="Y76" s="9"/>
      <c r="Z76" s="9"/>
    </row>
    <row r="77" ht="15.75" customHeight="1">
      <c r="A77" s="11"/>
      <c r="B77" s="11"/>
      <c r="C77" s="11"/>
      <c r="D77" s="11"/>
      <c r="E77" s="11"/>
      <c r="F77" s="9"/>
      <c r="G77" s="11"/>
      <c r="H77" s="11"/>
      <c r="I77" s="11"/>
      <c r="J77" s="11"/>
      <c r="K77" s="9"/>
      <c r="L77" s="11"/>
      <c r="M77" s="9"/>
      <c r="N77" s="9"/>
      <c r="O77" s="9"/>
      <c r="P77" s="9"/>
      <c r="Q77" s="9"/>
      <c r="R77" s="9"/>
      <c r="S77" s="9"/>
      <c r="T77" s="9"/>
      <c r="U77" s="9"/>
      <c r="V77" s="9"/>
      <c r="W77" s="9"/>
      <c r="X77" s="9"/>
      <c r="Y77" s="9"/>
      <c r="Z77" s="9"/>
    </row>
    <row r="78" ht="15.75" customHeight="1">
      <c r="A78" s="11"/>
      <c r="B78" s="11"/>
      <c r="C78" s="11"/>
      <c r="D78" s="11"/>
      <c r="E78" s="11"/>
      <c r="F78" s="9"/>
      <c r="G78" s="11"/>
      <c r="H78" s="11"/>
      <c r="I78" s="11"/>
      <c r="J78" s="11"/>
      <c r="K78" s="9"/>
      <c r="L78" s="11"/>
      <c r="M78" s="9"/>
      <c r="N78" s="9"/>
      <c r="O78" s="9"/>
      <c r="P78" s="9"/>
      <c r="Q78" s="9"/>
      <c r="R78" s="9"/>
      <c r="S78" s="9"/>
      <c r="T78" s="9"/>
      <c r="U78" s="9"/>
      <c r="V78" s="9"/>
      <c r="W78" s="9"/>
      <c r="X78" s="9"/>
      <c r="Y78" s="9"/>
      <c r="Z78" s="9"/>
    </row>
    <row r="79" ht="15.75" customHeight="1">
      <c r="A79" s="11"/>
      <c r="B79" s="11"/>
      <c r="C79" s="11"/>
      <c r="D79" s="11"/>
      <c r="E79" s="11"/>
      <c r="F79" s="9"/>
      <c r="G79" s="11"/>
      <c r="H79" s="11"/>
      <c r="I79" s="11"/>
      <c r="J79" s="11"/>
      <c r="K79" s="9"/>
      <c r="L79" s="11"/>
      <c r="M79" s="9"/>
      <c r="N79" s="9"/>
      <c r="O79" s="9"/>
      <c r="P79" s="9"/>
      <c r="Q79" s="9"/>
      <c r="R79" s="9"/>
      <c r="S79" s="9"/>
      <c r="T79" s="9"/>
      <c r="U79" s="9"/>
      <c r="V79" s="9"/>
      <c r="W79" s="9"/>
      <c r="X79" s="9"/>
      <c r="Y79" s="9"/>
      <c r="Z79" s="9"/>
    </row>
    <row r="80" ht="15.75" customHeight="1">
      <c r="A80" s="11"/>
      <c r="B80" s="11"/>
      <c r="C80" s="11"/>
      <c r="D80" s="11"/>
      <c r="E80" s="11"/>
      <c r="F80" s="9"/>
      <c r="G80" s="11"/>
      <c r="H80" s="11"/>
      <c r="I80" s="11"/>
      <c r="J80" s="11"/>
      <c r="K80" s="9"/>
      <c r="L80" s="11"/>
      <c r="M80" s="9"/>
      <c r="N80" s="9"/>
      <c r="O80" s="9"/>
      <c r="P80" s="9"/>
      <c r="Q80" s="9"/>
      <c r="R80" s="9"/>
      <c r="S80" s="9"/>
      <c r="T80" s="9"/>
      <c r="U80" s="9"/>
      <c r="V80" s="9"/>
      <c r="W80" s="9"/>
      <c r="X80" s="9"/>
      <c r="Y80" s="9"/>
      <c r="Z80" s="9"/>
    </row>
    <row r="81" ht="15.75" customHeight="1">
      <c r="A81" s="11"/>
      <c r="B81" s="11"/>
      <c r="C81" s="11"/>
      <c r="D81" s="11"/>
      <c r="E81" s="11"/>
      <c r="F81" s="9"/>
      <c r="G81" s="11"/>
      <c r="H81" s="11"/>
      <c r="I81" s="11"/>
      <c r="J81" s="11"/>
      <c r="K81" s="9"/>
      <c r="L81" s="11"/>
      <c r="M81" s="9"/>
      <c r="N81" s="9"/>
      <c r="O81" s="9"/>
      <c r="P81" s="9"/>
      <c r="Q81" s="9"/>
      <c r="R81" s="9"/>
      <c r="S81" s="9"/>
      <c r="T81" s="9"/>
      <c r="U81" s="9"/>
      <c r="V81" s="9"/>
      <c r="W81" s="9"/>
      <c r="X81" s="9"/>
      <c r="Y81" s="9"/>
      <c r="Z81" s="9"/>
    </row>
    <row r="82" ht="15.75" customHeight="1">
      <c r="A82" s="11"/>
      <c r="B82" s="11"/>
      <c r="C82" s="11"/>
      <c r="D82" s="11"/>
      <c r="E82" s="11"/>
      <c r="F82" s="9"/>
      <c r="G82" s="11"/>
      <c r="H82" s="11"/>
      <c r="I82" s="11"/>
      <c r="J82" s="11"/>
      <c r="K82" s="9"/>
      <c r="L82" s="11"/>
      <c r="M82" s="9"/>
      <c r="N82" s="9"/>
      <c r="O82" s="9"/>
      <c r="P82" s="9"/>
      <c r="Q82" s="9"/>
      <c r="R82" s="9"/>
      <c r="S82" s="9"/>
      <c r="T82" s="9"/>
      <c r="U82" s="9"/>
      <c r="V82" s="9"/>
      <c r="W82" s="9"/>
      <c r="X82" s="9"/>
      <c r="Y82" s="9"/>
      <c r="Z82" s="9"/>
    </row>
    <row r="83" ht="15.75" customHeight="1">
      <c r="A83" s="11"/>
      <c r="B83" s="11"/>
      <c r="C83" s="11"/>
      <c r="D83" s="11"/>
      <c r="E83" s="11"/>
      <c r="F83" s="9"/>
      <c r="G83" s="11"/>
      <c r="H83" s="11"/>
      <c r="I83" s="11"/>
      <c r="J83" s="11"/>
      <c r="K83" s="9"/>
      <c r="L83" s="11"/>
      <c r="M83" s="9"/>
      <c r="N83" s="9"/>
      <c r="O83" s="9"/>
      <c r="P83" s="9"/>
      <c r="Q83" s="9"/>
      <c r="R83" s="9"/>
      <c r="S83" s="9"/>
      <c r="T83" s="9"/>
      <c r="U83" s="9"/>
      <c r="V83" s="9"/>
      <c r="W83" s="9"/>
      <c r="X83" s="9"/>
      <c r="Y83" s="9"/>
      <c r="Z83" s="9"/>
    </row>
    <row r="84" ht="15.75" customHeight="1">
      <c r="A84" s="11"/>
      <c r="B84" s="11"/>
      <c r="C84" s="11"/>
      <c r="D84" s="11"/>
      <c r="E84" s="11"/>
      <c r="F84" s="9"/>
      <c r="G84" s="11"/>
      <c r="H84" s="11"/>
      <c r="I84" s="11"/>
      <c r="J84" s="11"/>
      <c r="K84" s="9"/>
      <c r="L84" s="11"/>
      <c r="M84" s="9"/>
      <c r="N84" s="9"/>
      <c r="O84" s="9"/>
      <c r="P84" s="9"/>
      <c r="Q84" s="9"/>
      <c r="R84" s="9"/>
      <c r="S84" s="9"/>
      <c r="T84" s="9"/>
      <c r="U84" s="9"/>
      <c r="V84" s="9"/>
      <c r="W84" s="9"/>
      <c r="X84" s="9"/>
      <c r="Y84" s="9"/>
      <c r="Z84" s="9"/>
    </row>
    <row r="85" ht="15.75" customHeight="1">
      <c r="A85" s="11"/>
      <c r="B85" s="11"/>
      <c r="C85" s="11"/>
      <c r="D85" s="11"/>
      <c r="E85" s="11"/>
      <c r="F85" s="9"/>
      <c r="G85" s="11"/>
      <c r="H85" s="11"/>
      <c r="I85" s="11"/>
      <c r="J85" s="11"/>
      <c r="K85" s="9"/>
      <c r="L85" s="11"/>
      <c r="M85" s="9"/>
      <c r="N85" s="9"/>
      <c r="O85" s="9"/>
      <c r="P85" s="9"/>
      <c r="Q85" s="9"/>
      <c r="R85" s="9"/>
      <c r="S85" s="9"/>
      <c r="T85" s="9"/>
      <c r="U85" s="9"/>
      <c r="V85" s="9"/>
      <c r="W85" s="9"/>
      <c r="X85" s="9"/>
      <c r="Y85" s="9"/>
      <c r="Z85" s="9"/>
    </row>
    <row r="86" ht="15.75" customHeight="1">
      <c r="A86" s="11"/>
      <c r="B86" s="11"/>
      <c r="C86" s="11"/>
      <c r="D86" s="11"/>
      <c r="E86" s="11"/>
      <c r="F86" s="9"/>
      <c r="G86" s="11"/>
      <c r="H86" s="11"/>
      <c r="I86" s="11"/>
      <c r="J86" s="11"/>
      <c r="K86" s="9"/>
      <c r="L86" s="11"/>
      <c r="M86" s="9"/>
      <c r="N86" s="9"/>
      <c r="O86" s="9"/>
      <c r="P86" s="9"/>
      <c r="Q86" s="9"/>
      <c r="R86" s="9"/>
      <c r="S86" s="9"/>
      <c r="T86" s="9"/>
      <c r="U86" s="9"/>
      <c r="V86" s="9"/>
      <c r="W86" s="9"/>
      <c r="X86" s="9"/>
      <c r="Y86" s="9"/>
      <c r="Z86" s="9"/>
    </row>
    <row r="87" ht="15.75" customHeight="1">
      <c r="A87" s="11"/>
      <c r="B87" s="11"/>
      <c r="C87" s="11"/>
      <c r="D87" s="11"/>
      <c r="E87" s="11"/>
      <c r="F87" s="9"/>
      <c r="G87" s="11"/>
      <c r="H87" s="11"/>
      <c r="I87" s="11"/>
      <c r="J87" s="11"/>
      <c r="K87" s="9"/>
      <c r="L87" s="11"/>
      <c r="M87" s="9"/>
      <c r="N87" s="9"/>
      <c r="O87" s="9"/>
      <c r="P87" s="9"/>
      <c r="Q87" s="9"/>
      <c r="R87" s="9"/>
      <c r="S87" s="9"/>
      <c r="T87" s="9"/>
      <c r="U87" s="9"/>
      <c r="V87" s="9"/>
      <c r="W87" s="9"/>
      <c r="X87" s="9"/>
      <c r="Y87" s="9"/>
      <c r="Z87" s="9"/>
    </row>
    <row r="88" ht="15.75" customHeight="1">
      <c r="A88" s="11"/>
      <c r="B88" s="11"/>
      <c r="C88" s="11"/>
      <c r="D88" s="11"/>
      <c r="E88" s="11"/>
      <c r="F88" s="9"/>
      <c r="G88" s="11"/>
      <c r="H88" s="11"/>
      <c r="I88" s="11"/>
      <c r="J88" s="11"/>
      <c r="K88" s="9"/>
      <c r="L88" s="11"/>
      <c r="M88" s="9"/>
      <c r="N88" s="9"/>
      <c r="O88" s="9"/>
      <c r="P88" s="9"/>
      <c r="Q88" s="9"/>
      <c r="R88" s="9"/>
      <c r="S88" s="9"/>
      <c r="T88" s="9"/>
      <c r="U88" s="9"/>
      <c r="V88" s="9"/>
      <c r="W88" s="9"/>
      <c r="X88" s="9"/>
      <c r="Y88" s="9"/>
      <c r="Z88" s="9"/>
    </row>
    <row r="89" ht="15.75" customHeight="1">
      <c r="A89" s="11"/>
      <c r="B89" s="11"/>
      <c r="C89" s="11"/>
      <c r="D89" s="11"/>
      <c r="E89" s="11"/>
      <c r="F89" s="9"/>
      <c r="G89" s="11"/>
      <c r="H89" s="11"/>
      <c r="I89" s="11"/>
      <c r="J89" s="11"/>
      <c r="K89" s="9"/>
      <c r="L89" s="11"/>
      <c r="M89" s="9"/>
      <c r="N89" s="9"/>
      <c r="O89" s="9"/>
      <c r="P89" s="9"/>
      <c r="Q89" s="9"/>
      <c r="R89" s="9"/>
      <c r="S89" s="9"/>
      <c r="T89" s="9"/>
      <c r="U89" s="9"/>
      <c r="V89" s="9"/>
      <c r="W89" s="9"/>
      <c r="X89" s="9"/>
      <c r="Y89" s="9"/>
      <c r="Z89" s="9"/>
    </row>
    <row r="90" ht="15.75" customHeight="1">
      <c r="A90" s="11"/>
      <c r="B90" s="11"/>
      <c r="C90" s="11"/>
      <c r="D90" s="11"/>
      <c r="E90" s="11"/>
      <c r="F90" s="9"/>
      <c r="G90" s="11"/>
      <c r="H90" s="11"/>
      <c r="I90" s="11"/>
      <c r="J90" s="11"/>
      <c r="K90" s="9"/>
      <c r="L90" s="11"/>
      <c r="M90" s="9"/>
      <c r="N90" s="9"/>
      <c r="O90" s="9"/>
      <c r="P90" s="9"/>
      <c r="Q90" s="9"/>
      <c r="R90" s="9"/>
      <c r="S90" s="9"/>
      <c r="T90" s="9"/>
      <c r="U90" s="9"/>
      <c r="V90" s="9"/>
      <c r="W90" s="9"/>
      <c r="X90" s="9"/>
      <c r="Y90" s="9"/>
      <c r="Z90" s="9"/>
    </row>
    <row r="91" ht="15.75" customHeight="1">
      <c r="A91" s="11"/>
      <c r="B91" s="11"/>
      <c r="C91" s="11"/>
      <c r="D91" s="11"/>
      <c r="E91" s="11"/>
      <c r="F91" s="9"/>
      <c r="G91" s="11"/>
      <c r="H91" s="11"/>
      <c r="I91" s="11"/>
      <c r="J91" s="11"/>
      <c r="K91" s="9"/>
      <c r="L91" s="11"/>
      <c r="M91" s="9"/>
      <c r="N91" s="9"/>
      <c r="O91" s="9"/>
      <c r="P91" s="9"/>
      <c r="Q91" s="9"/>
      <c r="R91" s="9"/>
      <c r="S91" s="9"/>
      <c r="T91" s="9"/>
      <c r="U91" s="9"/>
      <c r="V91" s="9"/>
      <c r="W91" s="9"/>
      <c r="X91" s="9"/>
      <c r="Y91" s="9"/>
      <c r="Z91" s="9"/>
    </row>
    <row r="92" ht="15.75" customHeight="1">
      <c r="A92" s="11"/>
      <c r="B92" s="11"/>
      <c r="C92" s="11"/>
      <c r="D92" s="11"/>
      <c r="E92" s="11"/>
      <c r="F92" s="9"/>
      <c r="G92" s="11"/>
      <c r="H92" s="11"/>
      <c r="I92" s="11"/>
      <c r="J92" s="11"/>
      <c r="K92" s="9"/>
      <c r="L92" s="11"/>
      <c r="M92" s="9"/>
      <c r="N92" s="9"/>
      <c r="O92" s="9"/>
      <c r="P92" s="9"/>
      <c r="Q92" s="9"/>
      <c r="R92" s="9"/>
      <c r="S92" s="9"/>
      <c r="T92" s="9"/>
      <c r="U92" s="9"/>
      <c r="V92" s="9"/>
      <c r="W92" s="9"/>
      <c r="X92" s="9"/>
      <c r="Y92" s="9"/>
      <c r="Z92" s="9"/>
    </row>
    <row r="93" ht="15.75" customHeight="1">
      <c r="A93" s="11"/>
      <c r="B93" s="11"/>
      <c r="C93" s="11"/>
      <c r="D93" s="11"/>
      <c r="E93" s="11"/>
      <c r="F93" s="9"/>
      <c r="G93" s="11"/>
      <c r="H93" s="11"/>
      <c r="I93" s="11"/>
      <c r="J93" s="11"/>
      <c r="K93" s="9"/>
      <c r="L93" s="11"/>
      <c r="M93" s="9"/>
      <c r="N93" s="9"/>
      <c r="O93" s="9"/>
      <c r="P93" s="9"/>
      <c r="Q93" s="9"/>
      <c r="R93" s="9"/>
      <c r="S93" s="9"/>
      <c r="T93" s="9"/>
      <c r="U93" s="9"/>
      <c r="V93" s="9"/>
      <c r="W93" s="9"/>
      <c r="X93" s="9"/>
      <c r="Y93" s="9"/>
      <c r="Z93" s="9"/>
    </row>
    <row r="94" ht="15.75" customHeight="1">
      <c r="A94" s="11"/>
      <c r="B94" s="11"/>
      <c r="C94" s="11"/>
      <c r="D94" s="11"/>
      <c r="E94" s="11"/>
      <c r="F94" s="9"/>
      <c r="G94" s="11"/>
      <c r="H94" s="11"/>
      <c r="I94" s="11"/>
      <c r="J94" s="11"/>
      <c r="K94" s="9"/>
      <c r="L94" s="11"/>
      <c r="M94" s="9"/>
      <c r="N94" s="9"/>
      <c r="O94" s="9"/>
      <c r="P94" s="9"/>
      <c r="Q94" s="9"/>
      <c r="R94" s="9"/>
      <c r="S94" s="9"/>
      <c r="T94" s="9"/>
      <c r="U94" s="9"/>
      <c r="V94" s="9"/>
      <c r="W94" s="9"/>
      <c r="X94" s="9"/>
      <c r="Y94" s="9"/>
      <c r="Z94" s="9"/>
    </row>
    <row r="95" ht="15.75" customHeight="1">
      <c r="A95" s="11"/>
      <c r="B95" s="11"/>
      <c r="C95" s="11"/>
      <c r="D95" s="11"/>
      <c r="E95" s="11"/>
      <c r="F95" s="9"/>
      <c r="G95" s="11"/>
      <c r="H95" s="11"/>
      <c r="I95" s="11"/>
      <c r="J95" s="11"/>
      <c r="K95" s="9"/>
      <c r="L95" s="11"/>
      <c r="M95" s="9"/>
      <c r="N95" s="9"/>
      <c r="O95" s="9"/>
      <c r="P95" s="9"/>
      <c r="Q95" s="9"/>
      <c r="R95" s="9"/>
      <c r="S95" s="9"/>
      <c r="T95" s="9"/>
      <c r="U95" s="9"/>
      <c r="V95" s="9"/>
      <c r="W95" s="9"/>
      <c r="X95" s="9"/>
      <c r="Y95" s="9"/>
      <c r="Z95" s="9"/>
    </row>
    <row r="96" ht="15.75" customHeight="1">
      <c r="A96" s="11"/>
      <c r="B96" s="11"/>
      <c r="C96" s="11"/>
      <c r="D96" s="11"/>
      <c r="E96" s="11"/>
      <c r="F96" s="9"/>
      <c r="G96" s="11"/>
      <c r="H96" s="11"/>
      <c r="I96" s="11"/>
      <c r="J96" s="11"/>
      <c r="K96" s="9"/>
      <c r="L96" s="11"/>
      <c r="M96" s="9"/>
      <c r="N96" s="9"/>
      <c r="O96" s="9"/>
      <c r="P96" s="9"/>
      <c r="Q96" s="9"/>
      <c r="R96" s="9"/>
      <c r="S96" s="9"/>
      <c r="T96" s="9"/>
      <c r="U96" s="9"/>
      <c r="V96" s="9"/>
      <c r="W96" s="9"/>
      <c r="X96" s="9"/>
      <c r="Y96" s="9"/>
      <c r="Z96" s="9"/>
    </row>
    <row r="97" ht="15.75" customHeight="1">
      <c r="A97" s="11"/>
      <c r="B97" s="11"/>
      <c r="C97" s="11"/>
      <c r="D97" s="11"/>
      <c r="E97" s="11"/>
      <c r="F97" s="9"/>
      <c r="G97" s="11"/>
      <c r="H97" s="11"/>
      <c r="I97" s="11"/>
      <c r="J97" s="11"/>
      <c r="K97" s="9"/>
      <c r="L97" s="11"/>
      <c r="M97" s="9"/>
      <c r="N97" s="9"/>
      <c r="O97" s="9"/>
      <c r="P97" s="9"/>
      <c r="Q97" s="9"/>
      <c r="R97" s="9"/>
      <c r="S97" s="9"/>
      <c r="T97" s="9"/>
      <c r="U97" s="9"/>
      <c r="V97" s="9"/>
      <c r="W97" s="9"/>
      <c r="X97" s="9"/>
      <c r="Y97" s="9"/>
      <c r="Z97" s="9"/>
    </row>
    <row r="98" ht="15.75" customHeight="1">
      <c r="A98" s="11"/>
      <c r="B98" s="11"/>
      <c r="C98" s="11"/>
      <c r="D98" s="11"/>
      <c r="E98" s="11"/>
      <c r="F98" s="9"/>
      <c r="G98" s="11"/>
      <c r="H98" s="11"/>
      <c r="I98" s="11"/>
      <c r="J98" s="11"/>
      <c r="K98" s="9"/>
      <c r="L98" s="11"/>
      <c r="M98" s="9"/>
      <c r="N98" s="9"/>
      <c r="O98" s="9"/>
      <c r="P98" s="9"/>
      <c r="Q98" s="9"/>
      <c r="R98" s="9"/>
      <c r="S98" s="9"/>
      <c r="T98" s="9"/>
      <c r="U98" s="9"/>
      <c r="V98" s="9"/>
      <c r="W98" s="9"/>
      <c r="X98" s="9"/>
      <c r="Y98" s="9"/>
      <c r="Z98" s="9"/>
    </row>
    <row r="99" ht="15.75" customHeight="1">
      <c r="A99" s="11"/>
      <c r="B99" s="11"/>
      <c r="C99" s="11"/>
      <c r="D99" s="11"/>
      <c r="E99" s="11"/>
      <c r="F99" s="9"/>
      <c r="G99" s="11"/>
      <c r="H99" s="11"/>
      <c r="I99" s="11"/>
      <c r="J99" s="11"/>
      <c r="K99" s="9"/>
      <c r="L99" s="11"/>
      <c r="M99" s="9"/>
      <c r="N99" s="9"/>
      <c r="O99" s="9"/>
      <c r="P99" s="9"/>
      <c r="Q99" s="9"/>
      <c r="R99" s="9"/>
      <c r="S99" s="9"/>
      <c r="T99" s="9"/>
      <c r="U99" s="9"/>
      <c r="V99" s="9"/>
      <c r="W99" s="9"/>
      <c r="X99" s="9"/>
      <c r="Y99" s="9"/>
      <c r="Z99" s="9"/>
    </row>
    <row r="100" ht="15.75" customHeight="1">
      <c r="A100" s="11"/>
      <c r="B100" s="11"/>
      <c r="C100" s="11"/>
      <c r="D100" s="11"/>
      <c r="E100" s="11"/>
      <c r="F100" s="9"/>
      <c r="G100" s="11"/>
      <c r="H100" s="11"/>
      <c r="I100" s="11"/>
      <c r="J100" s="11"/>
      <c r="K100" s="9"/>
      <c r="L100" s="11"/>
      <c r="M100" s="9"/>
      <c r="N100" s="9"/>
      <c r="O100" s="9"/>
      <c r="P100" s="9"/>
      <c r="Q100" s="9"/>
      <c r="R100" s="9"/>
      <c r="S100" s="9"/>
      <c r="T100" s="9"/>
      <c r="U100" s="9"/>
      <c r="V100" s="9"/>
      <c r="W100" s="9"/>
      <c r="X100" s="9"/>
      <c r="Y100" s="9"/>
      <c r="Z100" s="9"/>
    </row>
    <row r="101" ht="15.75" customHeight="1">
      <c r="A101" s="11"/>
      <c r="B101" s="11"/>
      <c r="C101" s="11"/>
      <c r="D101" s="11"/>
      <c r="E101" s="11"/>
      <c r="F101" s="9"/>
      <c r="G101" s="11"/>
      <c r="H101" s="11"/>
      <c r="I101" s="11"/>
      <c r="J101" s="11"/>
      <c r="K101" s="9"/>
      <c r="L101" s="11"/>
      <c r="M101" s="9"/>
      <c r="N101" s="9"/>
      <c r="O101" s="9"/>
      <c r="P101" s="9"/>
      <c r="Q101" s="9"/>
      <c r="R101" s="9"/>
      <c r="S101" s="9"/>
      <c r="T101" s="9"/>
      <c r="U101" s="9"/>
      <c r="V101" s="9"/>
      <c r="W101" s="9"/>
      <c r="X101" s="9"/>
      <c r="Y101" s="9"/>
      <c r="Z101" s="9"/>
    </row>
    <row r="102" ht="15.75" customHeight="1">
      <c r="A102" s="11"/>
      <c r="B102" s="11"/>
      <c r="C102" s="11"/>
      <c r="D102" s="11"/>
      <c r="E102" s="11"/>
      <c r="F102" s="9"/>
      <c r="G102" s="11"/>
      <c r="H102" s="11"/>
      <c r="I102" s="11"/>
      <c r="J102" s="11"/>
      <c r="K102" s="9"/>
      <c r="L102" s="11"/>
      <c r="M102" s="9"/>
      <c r="N102" s="9"/>
      <c r="O102" s="9"/>
      <c r="P102" s="9"/>
      <c r="Q102" s="9"/>
      <c r="R102" s="9"/>
      <c r="S102" s="9"/>
      <c r="T102" s="9"/>
      <c r="U102" s="9"/>
      <c r="V102" s="9"/>
      <c r="W102" s="9"/>
      <c r="X102" s="9"/>
      <c r="Y102" s="9"/>
      <c r="Z102" s="9"/>
    </row>
    <row r="103" ht="15.75" customHeight="1">
      <c r="A103" s="11"/>
      <c r="B103" s="11"/>
      <c r="C103" s="11"/>
      <c r="D103" s="11"/>
      <c r="E103" s="11"/>
      <c r="F103" s="9"/>
      <c r="G103" s="11"/>
      <c r="H103" s="11"/>
      <c r="I103" s="11"/>
      <c r="J103" s="11"/>
      <c r="K103" s="9"/>
      <c r="L103" s="11"/>
      <c r="M103" s="9"/>
      <c r="N103" s="9"/>
      <c r="O103" s="9"/>
      <c r="P103" s="9"/>
      <c r="Q103" s="9"/>
      <c r="R103" s="9"/>
      <c r="S103" s="9"/>
      <c r="T103" s="9"/>
      <c r="U103" s="9"/>
      <c r="V103" s="9"/>
      <c r="W103" s="9"/>
      <c r="X103" s="9"/>
      <c r="Y103" s="9"/>
      <c r="Z103" s="9"/>
    </row>
    <row r="104" ht="15.75" customHeight="1">
      <c r="A104" s="11"/>
      <c r="B104" s="11"/>
      <c r="C104" s="11"/>
      <c r="D104" s="11"/>
      <c r="E104" s="11"/>
      <c r="F104" s="9"/>
      <c r="G104" s="11"/>
      <c r="H104" s="11"/>
      <c r="I104" s="11"/>
      <c r="J104" s="11"/>
      <c r="K104" s="9"/>
      <c r="L104" s="11"/>
      <c r="M104" s="9"/>
      <c r="N104" s="9"/>
      <c r="O104" s="9"/>
      <c r="P104" s="9"/>
      <c r="Q104" s="9"/>
      <c r="R104" s="9"/>
      <c r="S104" s="9"/>
      <c r="T104" s="9"/>
      <c r="U104" s="9"/>
      <c r="V104" s="9"/>
      <c r="W104" s="9"/>
      <c r="X104" s="9"/>
      <c r="Y104" s="9"/>
      <c r="Z104" s="9"/>
    </row>
    <row r="105" ht="15.75" customHeight="1">
      <c r="A105" s="11"/>
      <c r="B105" s="11"/>
      <c r="C105" s="11"/>
      <c r="D105" s="11"/>
      <c r="E105" s="11"/>
      <c r="F105" s="9"/>
      <c r="G105" s="11"/>
      <c r="H105" s="11"/>
      <c r="I105" s="11"/>
      <c r="J105" s="11"/>
      <c r="K105" s="9"/>
      <c r="L105" s="11"/>
      <c r="M105" s="9"/>
      <c r="N105" s="9"/>
      <c r="O105" s="9"/>
      <c r="P105" s="9"/>
      <c r="Q105" s="9"/>
      <c r="R105" s="9"/>
      <c r="S105" s="9"/>
      <c r="T105" s="9"/>
      <c r="U105" s="9"/>
      <c r="V105" s="9"/>
      <c r="W105" s="9"/>
      <c r="X105" s="9"/>
      <c r="Y105" s="9"/>
      <c r="Z105" s="9"/>
    </row>
    <row r="106" ht="15.75" customHeight="1">
      <c r="A106" s="11"/>
      <c r="B106" s="11"/>
      <c r="C106" s="11"/>
      <c r="D106" s="11"/>
      <c r="E106" s="11"/>
      <c r="F106" s="9"/>
      <c r="G106" s="11"/>
      <c r="H106" s="11"/>
      <c r="I106" s="11"/>
      <c r="J106" s="11"/>
      <c r="K106" s="9"/>
      <c r="L106" s="11"/>
      <c r="M106" s="9"/>
      <c r="N106" s="9"/>
      <c r="O106" s="9"/>
      <c r="P106" s="9"/>
      <c r="Q106" s="9"/>
      <c r="R106" s="9"/>
      <c r="S106" s="9"/>
      <c r="T106" s="9"/>
      <c r="U106" s="9"/>
      <c r="V106" s="9"/>
      <c r="W106" s="9"/>
      <c r="X106" s="9"/>
      <c r="Y106" s="9"/>
      <c r="Z106" s="9"/>
    </row>
    <row r="107" ht="15.75" customHeight="1">
      <c r="A107" s="11"/>
      <c r="B107" s="11"/>
      <c r="C107" s="11"/>
      <c r="D107" s="11"/>
      <c r="E107" s="11"/>
      <c r="F107" s="9"/>
      <c r="G107" s="11"/>
      <c r="H107" s="11"/>
      <c r="I107" s="11"/>
      <c r="J107" s="11"/>
      <c r="K107" s="9"/>
      <c r="L107" s="11"/>
      <c r="M107" s="9"/>
      <c r="N107" s="9"/>
      <c r="O107" s="9"/>
      <c r="P107" s="9"/>
      <c r="Q107" s="9"/>
      <c r="R107" s="9"/>
      <c r="S107" s="9"/>
      <c r="T107" s="9"/>
      <c r="U107" s="9"/>
      <c r="V107" s="9"/>
      <c r="W107" s="9"/>
      <c r="X107" s="9"/>
      <c r="Y107" s="9"/>
      <c r="Z107" s="9"/>
    </row>
    <row r="108" ht="15.75" customHeight="1">
      <c r="A108" s="11"/>
      <c r="B108" s="11"/>
      <c r="C108" s="11"/>
      <c r="D108" s="11"/>
      <c r="E108" s="11"/>
      <c r="F108" s="9"/>
      <c r="G108" s="11"/>
      <c r="H108" s="11"/>
      <c r="I108" s="11"/>
      <c r="J108" s="11"/>
      <c r="K108" s="9"/>
      <c r="L108" s="11"/>
      <c r="M108" s="9"/>
      <c r="N108" s="9"/>
      <c r="O108" s="9"/>
      <c r="P108" s="9"/>
      <c r="Q108" s="9"/>
      <c r="R108" s="9"/>
      <c r="S108" s="9"/>
      <c r="T108" s="9"/>
      <c r="U108" s="9"/>
      <c r="V108" s="9"/>
      <c r="W108" s="9"/>
      <c r="X108" s="9"/>
      <c r="Y108" s="9"/>
      <c r="Z108" s="9"/>
    </row>
    <row r="109" ht="15.75" customHeight="1">
      <c r="A109" s="11"/>
      <c r="B109" s="11"/>
      <c r="C109" s="11"/>
      <c r="D109" s="11"/>
      <c r="E109" s="11"/>
      <c r="F109" s="9"/>
      <c r="G109" s="11"/>
      <c r="H109" s="11"/>
      <c r="I109" s="11"/>
      <c r="J109" s="11"/>
      <c r="K109" s="9"/>
      <c r="L109" s="11"/>
      <c r="M109" s="9"/>
      <c r="N109" s="9"/>
      <c r="O109" s="9"/>
      <c r="P109" s="9"/>
      <c r="Q109" s="9"/>
      <c r="R109" s="9"/>
      <c r="S109" s="9"/>
      <c r="T109" s="9"/>
      <c r="U109" s="9"/>
      <c r="V109" s="9"/>
      <c r="W109" s="9"/>
      <c r="X109" s="9"/>
      <c r="Y109" s="9"/>
      <c r="Z109" s="9"/>
    </row>
    <row r="110" ht="15.75" customHeight="1">
      <c r="A110" s="11"/>
      <c r="B110" s="11"/>
      <c r="C110" s="11"/>
      <c r="D110" s="11"/>
      <c r="E110" s="11"/>
      <c r="F110" s="9"/>
      <c r="G110" s="11"/>
      <c r="H110" s="11"/>
      <c r="I110" s="11"/>
      <c r="J110" s="11"/>
      <c r="K110" s="9"/>
      <c r="L110" s="11"/>
      <c r="M110" s="9"/>
      <c r="N110" s="9"/>
      <c r="O110" s="9"/>
      <c r="P110" s="9"/>
      <c r="Q110" s="9"/>
      <c r="R110" s="9"/>
      <c r="S110" s="9"/>
      <c r="T110" s="9"/>
      <c r="U110" s="9"/>
      <c r="V110" s="9"/>
      <c r="W110" s="9"/>
      <c r="X110" s="9"/>
      <c r="Y110" s="9"/>
      <c r="Z110" s="9"/>
    </row>
    <row r="111" ht="15.75" customHeight="1">
      <c r="A111" s="11"/>
      <c r="B111" s="11"/>
      <c r="C111" s="11"/>
      <c r="D111" s="11"/>
      <c r="E111" s="11"/>
      <c r="F111" s="9"/>
      <c r="G111" s="11"/>
      <c r="H111" s="11"/>
      <c r="I111" s="11"/>
      <c r="J111" s="11"/>
      <c r="K111" s="9"/>
      <c r="L111" s="11"/>
      <c r="M111" s="9"/>
      <c r="N111" s="9"/>
      <c r="O111" s="9"/>
      <c r="P111" s="9"/>
      <c r="Q111" s="9"/>
      <c r="R111" s="9"/>
      <c r="S111" s="9"/>
      <c r="T111" s="9"/>
      <c r="U111" s="9"/>
      <c r="V111" s="9"/>
      <c r="W111" s="9"/>
      <c r="X111" s="9"/>
      <c r="Y111" s="9"/>
      <c r="Z111" s="9"/>
    </row>
    <row r="112" ht="15.75" customHeight="1">
      <c r="A112" s="11"/>
      <c r="B112" s="11"/>
      <c r="C112" s="11"/>
      <c r="D112" s="11"/>
      <c r="E112" s="11"/>
      <c r="F112" s="9"/>
      <c r="G112" s="11"/>
      <c r="H112" s="11"/>
      <c r="I112" s="11"/>
      <c r="J112" s="11"/>
      <c r="K112" s="9"/>
      <c r="L112" s="11"/>
      <c r="M112" s="9"/>
      <c r="N112" s="9"/>
      <c r="O112" s="9"/>
      <c r="P112" s="9"/>
      <c r="Q112" s="9"/>
      <c r="R112" s="9"/>
      <c r="S112" s="9"/>
      <c r="T112" s="9"/>
      <c r="U112" s="9"/>
      <c r="V112" s="9"/>
      <c r="W112" s="9"/>
      <c r="X112" s="9"/>
      <c r="Y112" s="9"/>
      <c r="Z112" s="9"/>
    </row>
    <row r="113" ht="15.75" customHeight="1">
      <c r="A113" s="11"/>
      <c r="B113" s="11"/>
      <c r="C113" s="11"/>
      <c r="D113" s="11"/>
      <c r="E113" s="11"/>
      <c r="F113" s="9"/>
      <c r="G113" s="11"/>
      <c r="H113" s="11"/>
      <c r="I113" s="11"/>
      <c r="J113" s="11"/>
      <c r="K113" s="9"/>
      <c r="L113" s="11"/>
      <c r="M113" s="9"/>
      <c r="N113" s="9"/>
      <c r="O113" s="9"/>
      <c r="P113" s="9"/>
      <c r="Q113" s="9"/>
      <c r="R113" s="9"/>
      <c r="S113" s="9"/>
      <c r="T113" s="9"/>
      <c r="U113" s="9"/>
      <c r="V113" s="9"/>
      <c r="W113" s="9"/>
      <c r="X113" s="9"/>
      <c r="Y113" s="9"/>
      <c r="Z113" s="9"/>
    </row>
    <row r="114" ht="15.75" customHeight="1">
      <c r="A114" s="11"/>
      <c r="B114" s="11"/>
      <c r="C114" s="11"/>
      <c r="D114" s="11"/>
      <c r="E114" s="11"/>
      <c r="F114" s="9"/>
      <c r="G114" s="11"/>
      <c r="H114" s="11"/>
      <c r="I114" s="11"/>
      <c r="J114" s="11"/>
      <c r="K114" s="9"/>
      <c r="L114" s="11"/>
      <c r="M114" s="9"/>
      <c r="N114" s="9"/>
      <c r="O114" s="9"/>
      <c r="P114" s="9"/>
      <c r="Q114" s="9"/>
      <c r="R114" s="9"/>
      <c r="S114" s="9"/>
      <c r="T114" s="9"/>
      <c r="U114" s="9"/>
      <c r="V114" s="9"/>
      <c r="W114" s="9"/>
      <c r="X114" s="9"/>
      <c r="Y114" s="9"/>
      <c r="Z114" s="9"/>
    </row>
    <row r="115" ht="15.75" customHeight="1">
      <c r="A115" s="11"/>
      <c r="B115" s="11"/>
      <c r="C115" s="11"/>
      <c r="D115" s="11"/>
      <c r="E115" s="11"/>
      <c r="F115" s="9"/>
      <c r="G115" s="11"/>
      <c r="H115" s="11"/>
      <c r="I115" s="11"/>
      <c r="J115" s="11"/>
      <c r="K115" s="9"/>
      <c r="L115" s="11"/>
      <c r="M115" s="9"/>
      <c r="N115" s="9"/>
      <c r="O115" s="9"/>
      <c r="P115" s="9"/>
      <c r="Q115" s="9"/>
      <c r="R115" s="9"/>
      <c r="S115" s="9"/>
      <c r="T115" s="9"/>
      <c r="U115" s="9"/>
      <c r="V115" s="9"/>
      <c r="W115" s="9"/>
      <c r="X115" s="9"/>
      <c r="Y115" s="9"/>
      <c r="Z115" s="9"/>
    </row>
    <row r="116" ht="15.75" customHeight="1">
      <c r="A116" s="11"/>
      <c r="B116" s="11"/>
      <c r="C116" s="11"/>
      <c r="D116" s="11"/>
      <c r="E116" s="11"/>
      <c r="F116" s="9"/>
      <c r="G116" s="11"/>
      <c r="H116" s="11"/>
      <c r="I116" s="11"/>
      <c r="J116" s="11"/>
      <c r="K116" s="9"/>
      <c r="L116" s="11"/>
      <c r="M116" s="9"/>
      <c r="N116" s="9"/>
      <c r="O116" s="9"/>
      <c r="P116" s="9"/>
      <c r="Q116" s="9"/>
      <c r="R116" s="9"/>
      <c r="S116" s="9"/>
      <c r="T116" s="9"/>
      <c r="U116" s="9"/>
      <c r="V116" s="9"/>
      <c r="W116" s="9"/>
      <c r="X116" s="9"/>
      <c r="Y116" s="9"/>
      <c r="Z116" s="9"/>
    </row>
    <row r="117" ht="15.75" customHeight="1">
      <c r="A117" s="11"/>
      <c r="B117" s="11"/>
      <c r="C117" s="11"/>
      <c r="D117" s="11"/>
      <c r="E117" s="11"/>
      <c r="F117" s="9"/>
      <c r="G117" s="11"/>
      <c r="H117" s="11"/>
      <c r="I117" s="11"/>
      <c r="J117" s="11"/>
      <c r="K117" s="9"/>
      <c r="L117" s="11"/>
      <c r="M117" s="9"/>
      <c r="N117" s="9"/>
      <c r="O117" s="9"/>
      <c r="P117" s="9"/>
      <c r="Q117" s="9"/>
      <c r="R117" s="9"/>
      <c r="S117" s="9"/>
      <c r="T117" s="9"/>
      <c r="U117" s="9"/>
      <c r="V117" s="9"/>
      <c r="W117" s="9"/>
      <c r="X117" s="9"/>
      <c r="Y117" s="9"/>
      <c r="Z117" s="9"/>
    </row>
    <row r="118" ht="15.75" customHeight="1">
      <c r="A118" s="11"/>
      <c r="B118" s="11"/>
      <c r="C118" s="11"/>
      <c r="D118" s="11"/>
      <c r="E118" s="11"/>
      <c r="F118" s="9"/>
      <c r="G118" s="11"/>
      <c r="H118" s="11"/>
      <c r="I118" s="11"/>
      <c r="J118" s="11"/>
      <c r="K118" s="9"/>
      <c r="L118" s="11"/>
      <c r="M118" s="9"/>
      <c r="N118" s="9"/>
      <c r="O118" s="9"/>
      <c r="P118" s="9"/>
      <c r="Q118" s="9"/>
      <c r="R118" s="9"/>
      <c r="S118" s="9"/>
      <c r="T118" s="9"/>
      <c r="U118" s="9"/>
      <c r="V118" s="9"/>
      <c r="W118" s="9"/>
      <c r="X118" s="9"/>
      <c r="Y118" s="9"/>
      <c r="Z118" s="9"/>
    </row>
    <row r="119" ht="15.75" customHeight="1">
      <c r="A119" s="11"/>
      <c r="B119" s="11"/>
      <c r="C119" s="11"/>
      <c r="D119" s="11"/>
      <c r="E119" s="11"/>
      <c r="F119" s="9"/>
      <c r="G119" s="11"/>
      <c r="H119" s="11"/>
      <c r="I119" s="11"/>
      <c r="J119" s="11"/>
      <c r="K119" s="9"/>
      <c r="L119" s="11"/>
      <c r="M119" s="9"/>
      <c r="N119" s="9"/>
      <c r="O119" s="9"/>
      <c r="P119" s="9"/>
      <c r="Q119" s="9"/>
      <c r="R119" s="9"/>
      <c r="S119" s="9"/>
      <c r="T119" s="9"/>
      <c r="U119" s="9"/>
      <c r="V119" s="9"/>
      <c r="W119" s="9"/>
      <c r="X119" s="9"/>
      <c r="Y119" s="9"/>
      <c r="Z119" s="9"/>
    </row>
    <row r="120" ht="15.75" customHeight="1">
      <c r="A120" s="11"/>
      <c r="B120" s="11"/>
      <c r="C120" s="11"/>
      <c r="D120" s="11"/>
      <c r="E120" s="11"/>
      <c r="F120" s="9"/>
      <c r="G120" s="11"/>
      <c r="H120" s="11"/>
      <c r="I120" s="11"/>
      <c r="J120" s="11"/>
      <c r="K120" s="9"/>
      <c r="L120" s="11"/>
      <c r="M120" s="9"/>
      <c r="N120" s="9"/>
      <c r="O120" s="9"/>
      <c r="P120" s="9"/>
      <c r="Q120" s="9"/>
      <c r="R120" s="9"/>
      <c r="S120" s="9"/>
      <c r="T120" s="9"/>
      <c r="U120" s="9"/>
      <c r="V120" s="9"/>
      <c r="W120" s="9"/>
      <c r="X120" s="9"/>
      <c r="Y120" s="9"/>
      <c r="Z120" s="9"/>
    </row>
    <row r="121" ht="15.75" customHeight="1">
      <c r="A121" s="11"/>
      <c r="B121" s="11"/>
      <c r="C121" s="11"/>
      <c r="D121" s="11"/>
      <c r="E121" s="11"/>
      <c r="F121" s="9"/>
      <c r="G121" s="11"/>
      <c r="H121" s="11"/>
      <c r="I121" s="11"/>
      <c r="J121" s="11"/>
      <c r="K121" s="9"/>
      <c r="L121" s="11"/>
      <c r="M121" s="9"/>
      <c r="N121" s="9"/>
      <c r="O121" s="9"/>
      <c r="P121" s="9"/>
      <c r="Q121" s="9"/>
      <c r="R121" s="9"/>
      <c r="S121" s="9"/>
      <c r="T121" s="9"/>
      <c r="U121" s="9"/>
      <c r="V121" s="9"/>
      <c r="W121" s="9"/>
      <c r="X121" s="9"/>
      <c r="Y121" s="9"/>
      <c r="Z121" s="9"/>
    </row>
    <row r="122" ht="15.75" customHeight="1">
      <c r="A122" s="11"/>
      <c r="B122" s="11"/>
      <c r="C122" s="11"/>
      <c r="D122" s="11"/>
      <c r="E122" s="11"/>
      <c r="F122" s="9"/>
      <c r="G122" s="11"/>
      <c r="H122" s="11"/>
      <c r="I122" s="11"/>
      <c r="J122" s="11"/>
      <c r="K122" s="9"/>
      <c r="L122" s="11"/>
      <c r="M122" s="9"/>
      <c r="N122" s="9"/>
      <c r="O122" s="9"/>
      <c r="P122" s="9"/>
      <c r="Q122" s="9"/>
      <c r="R122" s="9"/>
      <c r="S122" s="9"/>
      <c r="T122" s="9"/>
      <c r="U122" s="9"/>
      <c r="V122" s="9"/>
      <c r="W122" s="9"/>
      <c r="X122" s="9"/>
      <c r="Y122" s="9"/>
      <c r="Z122" s="9"/>
    </row>
    <row r="123" ht="15.75" customHeight="1">
      <c r="A123" s="11"/>
      <c r="B123" s="11"/>
      <c r="C123" s="11"/>
      <c r="D123" s="11"/>
      <c r="E123" s="11"/>
      <c r="F123" s="9"/>
      <c r="G123" s="11"/>
      <c r="H123" s="11"/>
      <c r="I123" s="11"/>
      <c r="J123" s="11"/>
      <c r="K123" s="9"/>
      <c r="L123" s="11"/>
      <c r="M123" s="9"/>
      <c r="N123" s="9"/>
      <c r="O123" s="9"/>
      <c r="P123" s="9"/>
      <c r="Q123" s="9"/>
      <c r="R123" s="9"/>
      <c r="S123" s="9"/>
      <c r="T123" s="9"/>
      <c r="U123" s="9"/>
      <c r="V123" s="9"/>
      <c r="W123" s="9"/>
      <c r="X123" s="9"/>
      <c r="Y123" s="9"/>
      <c r="Z123" s="9"/>
    </row>
    <row r="124" ht="15.75" customHeight="1">
      <c r="A124" s="11"/>
      <c r="B124" s="11"/>
      <c r="C124" s="11"/>
      <c r="D124" s="11"/>
      <c r="E124" s="11"/>
      <c r="F124" s="9"/>
      <c r="G124" s="11"/>
      <c r="H124" s="11"/>
      <c r="I124" s="11"/>
      <c r="J124" s="11"/>
      <c r="K124" s="9"/>
      <c r="L124" s="11"/>
      <c r="M124" s="9"/>
      <c r="N124" s="9"/>
      <c r="O124" s="9"/>
      <c r="P124" s="9"/>
      <c r="Q124" s="9"/>
      <c r="R124" s="9"/>
      <c r="S124" s="9"/>
      <c r="T124" s="9"/>
      <c r="U124" s="9"/>
      <c r="V124" s="9"/>
      <c r="W124" s="9"/>
      <c r="X124" s="9"/>
      <c r="Y124" s="9"/>
      <c r="Z124" s="9"/>
    </row>
    <row r="125" ht="15.75" customHeight="1">
      <c r="A125" s="11"/>
      <c r="B125" s="11"/>
      <c r="C125" s="11"/>
      <c r="D125" s="11"/>
      <c r="E125" s="11"/>
      <c r="F125" s="9"/>
      <c r="G125" s="11"/>
      <c r="H125" s="11"/>
      <c r="I125" s="11"/>
      <c r="J125" s="11"/>
      <c r="K125" s="9"/>
      <c r="L125" s="11"/>
      <c r="M125" s="9"/>
      <c r="N125" s="9"/>
      <c r="O125" s="9"/>
      <c r="P125" s="9"/>
      <c r="Q125" s="9"/>
      <c r="R125" s="9"/>
      <c r="S125" s="9"/>
      <c r="T125" s="9"/>
      <c r="U125" s="9"/>
      <c r="V125" s="9"/>
      <c r="W125" s="9"/>
      <c r="X125" s="9"/>
      <c r="Y125" s="9"/>
      <c r="Z125" s="9"/>
    </row>
    <row r="126" ht="15.75" customHeight="1">
      <c r="A126" s="11"/>
      <c r="B126" s="11"/>
      <c r="C126" s="11"/>
      <c r="D126" s="11"/>
      <c r="E126" s="11"/>
      <c r="F126" s="9"/>
      <c r="G126" s="11"/>
      <c r="H126" s="11"/>
      <c r="I126" s="11"/>
      <c r="J126" s="11"/>
      <c r="K126" s="9"/>
      <c r="L126" s="11"/>
      <c r="M126" s="9"/>
      <c r="N126" s="9"/>
      <c r="O126" s="9"/>
      <c r="P126" s="9"/>
      <c r="Q126" s="9"/>
      <c r="R126" s="9"/>
      <c r="S126" s="9"/>
      <c r="T126" s="9"/>
      <c r="U126" s="9"/>
      <c r="V126" s="9"/>
      <c r="W126" s="9"/>
      <c r="X126" s="9"/>
      <c r="Y126" s="9"/>
      <c r="Z126" s="9"/>
    </row>
    <row r="127" ht="15.75" customHeight="1">
      <c r="A127" s="11"/>
      <c r="B127" s="11"/>
      <c r="C127" s="11"/>
      <c r="D127" s="11"/>
      <c r="E127" s="11"/>
      <c r="F127" s="9"/>
      <c r="G127" s="11"/>
      <c r="H127" s="11"/>
      <c r="I127" s="11"/>
      <c r="J127" s="11"/>
      <c r="K127" s="9"/>
      <c r="L127" s="11"/>
      <c r="M127" s="9"/>
      <c r="N127" s="9"/>
      <c r="O127" s="9"/>
      <c r="P127" s="9"/>
      <c r="Q127" s="9"/>
      <c r="R127" s="9"/>
      <c r="S127" s="9"/>
      <c r="T127" s="9"/>
      <c r="U127" s="9"/>
      <c r="V127" s="9"/>
      <c r="W127" s="9"/>
      <c r="X127" s="9"/>
      <c r="Y127" s="9"/>
      <c r="Z127" s="9"/>
    </row>
    <row r="128" ht="15.75" customHeight="1">
      <c r="A128" s="11"/>
      <c r="B128" s="11"/>
      <c r="C128" s="11"/>
      <c r="D128" s="11"/>
      <c r="E128" s="11"/>
      <c r="F128" s="9"/>
      <c r="G128" s="11"/>
      <c r="H128" s="11"/>
      <c r="I128" s="11"/>
      <c r="J128" s="11"/>
      <c r="K128" s="9"/>
      <c r="L128" s="11"/>
      <c r="M128" s="9"/>
      <c r="N128" s="9"/>
      <c r="O128" s="9"/>
      <c r="P128" s="9"/>
      <c r="Q128" s="9"/>
      <c r="R128" s="9"/>
      <c r="S128" s="9"/>
      <c r="T128" s="9"/>
      <c r="U128" s="9"/>
      <c r="V128" s="9"/>
      <c r="W128" s="9"/>
      <c r="X128" s="9"/>
      <c r="Y128" s="9"/>
      <c r="Z128" s="9"/>
    </row>
    <row r="129" ht="15.75" customHeight="1">
      <c r="A129" s="11"/>
      <c r="B129" s="11"/>
      <c r="C129" s="11"/>
      <c r="D129" s="11"/>
      <c r="E129" s="11"/>
      <c r="F129" s="9"/>
      <c r="G129" s="11"/>
      <c r="H129" s="11"/>
      <c r="I129" s="11"/>
      <c r="J129" s="11"/>
      <c r="K129" s="9"/>
      <c r="L129" s="11"/>
      <c r="M129" s="9"/>
      <c r="N129" s="9"/>
      <c r="O129" s="9"/>
      <c r="P129" s="9"/>
      <c r="Q129" s="9"/>
      <c r="R129" s="9"/>
      <c r="S129" s="9"/>
      <c r="T129" s="9"/>
      <c r="U129" s="9"/>
      <c r="V129" s="9"/>
      <c r="W129" s="9"/>
      <c r="X129" s="9"/>
      <c r="Y129" s="9"/>
      <c r="Z129" s="9"/>
    </row>
    <row r="130" ht="15.75" customHeight="1">
      <c r="A130" s="11"/>
      <c r="B130" s="11"/>
      <c r="C130" s="11"/>
      <c r="D130" s="11"/>
      <c r="E130" s="11"/>
      <c r="F130" s="9"/>
      <c r="G130" s="11"/>
      <c r="H130" s="11"/>
      <c r="I130" s="11"/>
      <c r="J130" s="11"/>
      <c r="K130" s="9"/>
      <c r="L130" s="11"/>
      <c r="M130" s="9"/>
      <c r="N130" s="9"/>
      <c r="O130" s="9"/>
      <c r="P130" s="9"/>
      <c r="Q130" s="9"/>
      <c r="R130" s="9"/>
      <c r="S130" s="9"/>
      <c r="T130" s="9"/>
      <c r="U130" s="9"/>
      <c r="V130" s="9"/>
      <c r="W130" s="9"/>
      <c r="X130" s="9"/>
      <c r="Y130" s="9"/>
      <c r="Z130" s="9"/>
    </row>
    <row r="131" ht="15.75" customHeight="1">
      <c r="A131" s="11"/>
      <c r="B131" s="11"/>
      <c r="C131" s="11"/>
      <c r="D131" s="11"/>
      <c r="E131" s="11"/>
      <c r="F131" s="9"/>
      <c r="G131" s="11"/>
      <c r="H131" s="11"/>
      <c r="I131" s="11"/>
      <c r="J131" s="11"/>
      <c r="K131" s="9"/>
      <c r="L131" s="11"/>
      <c r="M131" s="9"/>
      <c r="N131" s="9"/>
      <c r="O131" s="9"/>
      <c r="P131" s="9"/>
      <c r="Q131" s="9"/>
      <c r="R131" s="9"/>
      <c r="S131" s="9"/>
      <c r="T131" s="9"/>
      <c r="U131" s="9"/>
      <c r="V131" s="9"/>
      <c r="W131" s="9"/>
      <c r="X131" s="9"/>
      <c r="Y131" s="9"/>
      <c r="Z131" s="9"/>
    </row>
    <row r="132" ht="15.75" customHeight="1">
      <c r="A132" s="11"/>
      <c r="B132" s="11"/>
      <c r="C132" s="11"/>
      <c r="D132" s="11"/>
      <c r="E132" s="11"/>
      <c r="F132" s="9"/>
      <c r="G132" s="11"/>
      <c r="H132" s="11"/>
      <c r="I132" s="11"/>
      <c r="J132" s="11"/>
      <c r="K132" s="9"/>
      <c r="L132" s="11"/>
      <c r="M132" s="9"/>
      <c r="N132" s="9"/>
      <c r="O132" s="9"/>
      <c r="P132" s="9"/>
      <c r="Q132" s="9"/>
      <c r="R132" s="9"/>
      <c r="S132" s="9"/>
      <c r="T132" s="9"/>
      <c r="U132" s="9"/>
      <c r="V132" s="9"/>
      <c r="W132" s="9"/>
      <c r="X132" s="9"/>
      <c r="Y132" s="9"/>
      <c r="Z132" s="9"/>
    </row>
    <row r="133" ht="15.75" customHeight="1">
      <c r="A133" s="11"/>
      <c r="B133" s="11"/>
      <c r="C133" s="11"/>
      <c r="D133" s="11"/>
      <c r="E133" s="11"/>
      <c r="F133" s="9"/>
      <c r="G133" s="11"/>
      <c r="H133" s="11"/>
      <c r="I133" s="11"/>
      <c r="J133" s="11"/>
      <c r="K133" s="9"/>
      <c r="L133" s="11"/>
      <c r="M133" s="9"/>
      <c r="N133" s="9"/>
      <c r="O133" s="9"/>
      <c r="P133" s="9"/>
      <c r="Q133" s="9"/>
      <c r="R133" s="9"/>
      <c r="S133" s="9"/>
      <c r="T133" s="9"/>
      <c r="U133" s="9"/>
      <c r="V133" s="9"/>
      <c r="W133" s="9"/>
      <c r="X133" s="9"/>
      <c r="Y133" s="9"/>
      <c r="Z133" s="9"/>
    </row>
    <row r="134" ht="15.75" customHeight="1">
      <c r="A134" s="11"/>
      <c r="B134" s="11"/>
      <c r="C134" s="11"/>
      <c r="D134" s="11"/>
      <c r="E134" s="11"/>
      <c r="F134" s="9"/>
      <c r="G134" s="11"/>
      <c r="H134" s="11"/>
      <c r="I134" s="11"/>
      <c r="J134" s="11"/>
      <c r="K134" s="9"/>
      <c r="L134" s="11"/>
      <c r="M134" s="9"/>
      <c r="N134" s="9"/>
      <c r="O134" s="9"/>
      <c r="P134" s="9"/>
      <c r="Q134" s="9"/>
      <c r="R134" s="9"/>
      <c r="S134" s="9"/>
      <c r="T134" s="9"/>
      <c r="U134" s="9"/>
      <c r="V134" s="9"/>
      <c r="W134" s="9"/>
      <c r="X134" s="9"/>
      <c r="Y134" s="9"/>
      <c r="Z134" s="9"/>
    </row>
    <row r="135" ht="15.75" customHeight="1">
      <c r="A135" s="11"/>
      <c r="B135" s="11"/>
      <c r="C135" s="11"/>
      <c r="D135" s="11"/>
      <c r="E135" s="11"/>
      <c r="F135" s="9"/>
      <c r="G135" s="11"/>
      <c r="H135" s="11"/>
      <c r="I135" s="11"/>
      <c r="J135" s="11"/>
      <c r="K135" s="9"/>
      <c r="L135" s="11"/>
      <c r="M135" s="9"/>
      <c r="N135" s="9"/>
      <c r="O135" s="9"/>
      <c r="P135" s="9"/>
      <c r="Q135" s="9"/>
      <c r="R135" s="9"/>
      <c r="S135" s="9"/>
      <c r="T135" s="9"/>
      <c r="U135" s="9"/>
      <c r="V135" s="9"/>
      <c r="W135" s="9"/>
      <c r="X135" s="9"/>
      <c r="Y135" s="9"/>
      <c r="Z135" s="9"/>
    </row>
    <row r="136" ht="15.75" customHeight="1">
      <c r="A136" s="11"/>
      <c r="B136" s="11"/>
      <c r="C136" s="11"/>
      <c r="D136" s="11"/>
      <c r="E136" s="11"/>
      <c r="F136" s="9"/>
      <c r="G136" s="11"/>
      <c r="H136" s="11"/>
      <c r="I136" s="11"/>
      <c r="J136" s="11"/>
      <c r="K136" s="9"/>
      <c r="L136" s="11"/>
      <c r="M136" s="9"/>
      <c r="N136" s="9"/>
      <c r="O136" s="9"/>
      <c r="P136" s="9"/>
      <c r="Q136" s="9"/>
      <c r="R136" s="9"/>
      <c r="S136" s="9"/>
      <c r="T136" s="9"/>
      <c r="U136" s="9"/>
      <c r="V136" s="9"/>
      <c r="W136" s="9"/>
      <c r="X136" s="9"/>
      <c r="Y136" s="9"/>
      <c r="Z136" s="9"/>
    </row>
    <row r="137" ht="15.75" customHeight="1">
      <c r="A137" s="11"/>
      <c r="B137" s="11"/>
      <c r="C137" s="11"/>
      <c r="D137" s="11"/>
      <c r="E137" s="11"/>
      <c r="F137" s="9"/>
      <c r="G137" s="11"/>
      <c r="H137" s="11"/>
      <c r="I137" s="11"/>
      <c r="J137" s="11"/>
      <c r="K137" s="9"/>
      <c r="L137" s="11"/>
      <c r="M137" s="9"/>
      <c r="N137" s="9"/>
      <c r="O137" s="9"/>
      <c r="P137" s="9"/>
      <c r="Q137" s="9"/>
      <c r="R137" s="9"/>
      <c r="S137" s="9"/>
      <c r="T137" s="9"/>
      <c r="U137" s="9"/>
      <c r="V137" s="9"/>
      <c r="W137" s="9"/>
      <c r="X137" s="9"/>
      <c r="Y137" s="9"/>
      <c r="Z137" s="9"/>
    </row>
    <row r="138" ht="15.75" customHeight="1">
      <c r="A138" s="11"/>
      <c r="B138" s="11"/>
      <c r="C138" s="11"/>
      <c r="D138" s="11"/>
      <c r="E138" s="11"/>
      <c r="F138" s="9"/>
      <c r="G138" s="11"/>
      <c r="H138" s="11"/>
      <c r="I138" s="11"/>
      <c r="J138" s="11"/>
      <c r="K138" s="9"/>
      <c r="L138" s="11"/>
      <c r="M138" s="9"/>
      <c r="N138" s="9"/>
      <c r="O138" s="9"/>
      <c r="P138" s="9"/>
      <c r="Q138" s="9"/>
      <c r="R138" s="9"/>
      <c r="S138" s="9"/>
      <c r="T138" s="9"/>
      <c r="U138" s="9"/>
      <c r="V138" s="9"/>
      <c r="W138" s="9"/>
      <c r="X138" s="9"/>
      <c r="Y138" s="9"/>
      <c r="Z138" s="9"/>
    </row>
    <row r="139" ht="15.75" customHeight="1">
      <c r="A139" s="11"/>
      <c r="B139" s="11"/>
      <c r="C139" s="11"/>
      <c r="D139" s="11"/>
      <c r="E139" s="11"/>
      <c r="F139" s="9"/>
      <c r="G139" s="11"/>
      <c r="H139" s="11"/>
      <c r="I139" s="11"/>
      <c r="J139" s="11"/>
      <c r="K139" s="9"/>
      <c r="L139" s="11"/>
      <c r="M139" s="9"/>
      <c r="N139" s="9"/>
      <c r="O139" s="9"/>
      <c r="P139" s="9"/>
      <c r="Q139" s="9"/>
      <c r="R139" s="9"/>
      <c r="S139" s="9"/>
      <c r="T139" s="9"/>
      <c r="U139" s="9"/>
      <c r="V139" s="9"/>
      <c r="W139" s="9"/>
      <c r="X139" s="9"/>
      <c r="Y139" s="9"/>
      <c r="Z139" s="9"/>
    </row>
    <row r="140" ht="15.75" customHeight="1">
      <c r="A140" s="11"/>
      <c r="B140" s="11"/>
      <c r="C140" s="11"/>
      <c r="D140" s="11"/>
      <c r="E140" s="11"/>
      <c r="F140" s="9"/>
      <c r="G140" s="11"/>
      <c r="H140" s="11"/>
      <c r="I140" s="11"/>
      <c r="J140" s="11"/>
      <c r="K140" s="9"/>
      <c r="L140" s="11"/>
      <c r="M140" s="9"/>
      <c r="N140" s="9"/>
      <c r="O140" s="9"/>
      <c r="P140" s="9"/>
      <c r="Q140" s="9"/>
      <c r="R140" s="9"/>
      <c r="S140" s="9"/>
      <c r="T140" s="9"/>
      <c r="U140" s="9"/>
      <c r="V140" s="9"/>
      <c r="W140" s="9"/>
      <c r="X140" s="9"/>
      <c r="Y140" s="9"/>
      <c r="Z140" s="9"/>
    </row>
    <row r="141" ht="15.75" customHeight="1">
      <c r="A141" s="11"/>
      <c r="B141" s="11"/>
      <c r="C141" s="11"/>
      <c r="D141" s="11"/>
      <c r="E141" s="11"/>
      <c r="F141" s="9"/>
      <c r="G141" s="11"/>
      <c r="H141" s="11"/>
      <c r="I141" s="11"/>
      <c r="J141" s="11"/>
      <c r="K141" s="9"/>
      <c r="L141" s="11"/>
      <c r="M141" s="9"/>
      <c r="N141" s="9"/>
      <c r="O141" s="9"/>
      <c r="P141" s="9"/>
      <c r="Q141" s="9"/>
      <c r="R141" s="9"/>
      <c r="S141" s="9"/>
      <c r="T141" s="9"/>
      <c r="U141" s="9"/>
      <c r="V141" s="9"/>
      <c r="W141" s="9"/>
      <c r="X141" s="9"/>
      <c r="Y141" s="9"/>
      <c r="Z141" s="9"/>
    </row>
    <row r="142" ht="15.75" customHeight="1">
      <c r="A142" s="11"/>
      <c r="B142" s="11"/>
      <c r="C142" s="11"/>
      <c r="D142" s="11"/>
      <c r="E142" s="11"/>
      <c r="F142" s="9"/>
      <c r="G142" s="11"/>
      <c r="H142" s="11"/>
      <c r="I142" s="11"/>
      <c r="J142" s="11"/>
      <c r="K142" s="9"/>
      <c r="L142" s="11"/>
      <c r="M142" s="9"/>
      <c r="N142" s="9"/>
      <c r="O142" s="9"/>
      <c r="P142" s="9"/>
      <c r="Q142" s="9"/>
      <c r="R142" s="9"/>
      <c r="S142" s="9"/>
      <c r="T142" s="9"/>
      <c r="U142" s="9"/>
      <c r="V142" s="9"/>
      <c r="W142" s="9"/>
      <c r="X142" s="9"/>
      <c r="Y142" s="9"/>
      <c r="Z142" s="9"/>
    </row>
    <row r="143" ht="15.75" customHeight="1">
      <c r="A143" s="11"/>
      <c r="B143" s="11"/>
      <c r="C143" s="11"/>
      <c r="D143" s="11"/>
      <c r="E143" s="11"/>
      <c r="F143" s="9"/>
      <c r="G143" s="11"/>
      <c r="H143" s="11"/>
      <c r="I143" s="11"/>
      <c r="J143" s="11"/>
      <c r="K143" s="9"/>
      <c r="L143" s="11"/>
      <c r="M143" s="9"/>
      <c r="N143" s="9"/>
      <c r="O143" s="9"/>
      <c r="P143" s="9"/>
      <c r="Q143" s="9"/>
      <c r="R143" s="9"/>
      <c r="S143" s="9"/>
      <c r="T143" s="9"/>
      <c r="U143" s="9"/>
      <c r="V143" s="9"/>
      <c r="W143" s="9"/>
      <c r="X143" s="9"/>
      <c r="Y143" s="9"/>
      <c r="Z143" s="9"/>
    </row>
    <row r="144" ht="15.75" customHeight="1">
      <c r="A144" s="11"/>
      <c r="B144" s="11"/>
      <c r="C144" s="11"/>
      <c r="D144" s="11"/>
      <c r="E144" s="11"/>
      <c r="F144" s="9"/>
      <c r="G144" s="11"/>
      <c r="H144" s="11"/>
      <c r="I144" s="11"/>
      <c r="J144" s="11"/>
      <c r="K144" s="9"/>
      <c r="L144" s="11"/>
      <c r="M144" s="9"/>
      <c r="N144" s="9"/>
      <c r="O144" s="9"/>
      <c r="P144" s="9"/>
      <c r="Q144" s="9"/>
      <c r="R144" s="9"/>
      <c r="S144" s="9"/>
      <c r="T144" s="9"/>
      <c r="U144" s="9"/>
      <c r="V144" s="9"/>
      <c r="W144" s="9"/>
      <c r="X144" s="9"/>
      <c r="Y144" s="9"/>
      <c r="Z144" s="9"/>
    </row>
    <row r="145" ht="15.75" customHeight="1">
      <c r="A145" s="11"/>
      <c r="B145" s="11"/>
      <c r="C145" s="11"/>
      <c r="D145" s="11"/>
      <c r="E145" s="11"/>
      <c r="F145" s="9"/>
      <c r="G145" s="11"/>
      <c r="H145" s="11"/>
      <c r="I145" s="11"/>
      <c r="J145" s="11"/>
      <c r="K145" s="9"/>
      <c r="L145" s="11"/>
      <c r="M145" s="9"/>
      <c r="N145" s="9"/>
      <c r="O145" s="9"/>
      <c r="P145" s="9"/>
      <c r="Q145" s="9"/>
      <c r="R145" s="9"/>
      <c r="S145" s="9"/>
      <c r="T145" s="9"/>
      <c r="U145" s="9"/>
      <c r="V145" s="9"/>
      <c r="W145" s="9"/>
      <c r="X145" s="9"/>
      <c r="Y145" s="9"/>
      <c r="Z145" s="9"/>
    </row>
    <row r="146" ht="15.75" customHeight="1">
      <c r="A146" s="11"/>
      <c r="B146" s="11"/>
      <c r="C146" s="11"/>
      <c r="D146" s="11"/>
      <c r="E146" s="11"/>
      <c r="F146" s="9"/>
      <c r="G146" s="11"/>
      <c r="H146" s="11"/>
      <c r="I146" s="11"/>
      <c r="J146" s="11"/>
      <c r="K146" s="9"/>
      <c r="L146" s="11"/>
      <c r="M146" s="9"/>
      <c r="N146" s="9"/>
      <c r="O146" s="9"/>
      <c r="P146" s="9"/>
      <c r="Q146" s="9"/>
      <c r="R146" s="9"/>
      <c r="S146" s="9"/>
      <c r="T146" s="9"/>
      <c r="U146" s="9"/>
      <c r="V146" s="9"/>
      <c r="W146" s="9"/>
      <c r="X146" s="9"/>
      <c r="Y146" s="9"/>
      <c r="Z146" s="9"/>
    </row>
    <row r="147" ht="15.75" customHeight="1">
      <c r="A147" s="11"/>
      <c r="B147" s="11"/>
      <c r="C147" s="11"/>
      <c r="D147" s="11"/>
      <c r="E147" s="11"/>
      <c r="F147" s="9"/>
      <c r="G147" s="11"/>
      <c r="H147" s="11"/>
      <c r="I147" s="11"/>
      <c r="J147" s="11"/>
      <c r="K147" s="9"/>
      <c r="L147" s="11"/>
      <c r="M147" s="9"/>
      <c r="N147" s="9"/>
      <c r="O147" s="9"/>
      <c r="P147" s="9"/>
      <c r="Q147" s="9"/>
      <c r="R147" s="9"/>
      <c r="S147" s="9"/>
      <c r="T147" s="9"/>
      <c r="U147" s="9"/>
      <c r="V147" s="9"/>
      <c r="W147" s="9"/>
      <c r="X147" s="9"/>
      <c r="Y147" s="9"/>
      <c r="Z147" s="9"/>
    </row>
    <row r="148" ht="15.75" customHeight="1">
      <c r="A148" s="11"/>
      <c r="B148" s="11"/>
      <c r="C148" s="11"/>
      <c r="D148" s="11"/>
      <c r="E148" s="11"/>
      <c r="F148" s="9"/>
      <c r="G148" s="11"/>
      <c r="H148" s="11"/>
      <c r="I148" s="11"/>
      <c r="J148" s="11"/>
      <c r="K148" s="9"/>
      <c r="L148" s="11"/>
      <c r="M148" s="9"/>
      <c r="N148" s="9"/>
      <c r="O148" s="9"/>
      <c r="P148" s="9"/>
      <c r="Q148" s="9"/>
      <c r="R148" s="9"/>
      <c r="S148" s="9"/>
      <c r="T148" s="9"/>
      <c r="U148" s="9"/>
      <c r="V148" s="9"/>
      <c r="W148" s="9"/>
      <c r="X148" s="9"/>
      <c r="Y148" s="9"/>
      <c r="Z148" s="9"/>
    </row>
    <row r="149" ht="15.75" customHeight="1">
      <c r="A149" s="11"/>
      <c r="B149" s="11"/>
      <c r="C149" s="11"/>
      <c r="D149" s="11"/>
      <c r="E149" s="11"/>
      <c r="F149" s="9"/>
      <c r="G149" s="11"/>
      <c r="H149" s="11"/>
      <c r="I149" s="11"/>
      <c r="J149" s="11"/>
      <c r="K149" s="9"/>
      <c r="L149" s="11"/>
      <c r="M149" s="9"/>
      <c r="N149" s="9"/>
      <c r="O149" s="9"/>
      <c r="P149" s="9"/>
      <c r="Q149" s="9"/>
      <c r="R149" s="9"/>
      <c r="S149" s="9"/>
      <c r="T149" s="9"/>
      <c r="U149" s="9"/>
      <c r="V149" s="9"/>
      <c r="W149" s="9"/>
      <c r="X149" s="9"/>
      <c r="Y149" s="9"/>
      <c r="Z149" s="9"/>
    </row>
    <row r="150" ht="15.75" customHeight="1">
      <c r="A150" s="11"/>
      <c r="B150" s="11"/>
      <c r="C150" s="11"/>
      <c r="D150" s="11"/>
      <c r="E150" s="11"/>
      <c r="F150" s="9"/>
      <c r="G150" s="11"/>
      <c r="H150" s="11"/>
      <c r="I150" s="11"/>
      <c r="J150" s="11"/>
      <c r="K150" s="9"/>
      <c r="L150" s="11"/>
      <c r="M150" s="9"/>
      <c r="N150" s="9"/>
      <c r="O150" s="9"/>
      <c r="P150" s="9"/>
      <c r="Q150" s="9"/>
      <c r="R150" s="9"/>
      <c r="S150" s="9"/>
      <c r="T150" s="9"/>
      <c r="U150" s="9"/>
      <c r="V150" s="9"/>
      <c r="W150" s="9"/>
      <c r="X150" s="9"/>
      <c r="Y150" s="9"/>
      <c r="Z150" s="9"/>
    </row>
    <row r="151" ht="15.75" customHeight="1">
      <c r="A151" s="11"/>
      <c r="B151" s="11"/>
      <c r="C151" s="11"/>
      <c r="D151" s="11"/>
      <c r="E151" s="11"/>
      <c r="F151" s="9"/>
      <c r="G151" s="11"/>
      <c r="H151" s="11"/>
      <c r="I151" s="11"/>
      <c r="J151" s="11"/>
      <c r="K151" s="9"/>
      <c r="L151" s="11"/>
      <c r="M151" s="9"/>
      <c r="N151" s="9"/>
      <c r="O151" s="9"/>
      <c r="P151" s="9"/>
      <c r="Q151" s="9"/>
      <c r="R151" s="9"/>
      <c r="S151" s="9"/>
      <c r="T151" s="9"/>
      <c r="U151" s="9"/>
      <c r="V151" s="9"/>
      <c r="W151" s="9"/>
      <c r="X151" s="9"/>
      <c r="Y151" s="9"/>
      <c r="Z151" s="9"/>
    </row>
    <row r="152" ht="15.75" customHeight="1">
      <c r="A152" s="11"/>
      <c r="B152" s="11"/>
      <c r="C152" s="11"/>
      <c r="D152" s="11"/>
      <c r="E152" s="11"/>
      <c r="F152" s="9"/>
      <c r="G152" s="11"/>
      <c r="H152" s="11"/>
      <c r="I152" s="11"/>
      <c r="J152" s="11"/>
      <c r="K152" s="9"/>
      <c r="L152" s="11"/>
      <c r="M152" s="9"/>
      <c r="N152" s="9"/>
      <c r="O152" s="9"/>
      <c r="P152" s="9"/>
      <c r="Q152" s="9"/>
      <c r="R152" s="9"/>
      <c r="S152" s="9"/>
      <c r="T152" s="9"/>
      <c r="U152" s="9"/>
      <c r="V152" s="9"/>
      <c r="W152" s="9"/>
      <c r="X152" s="9"/>
      <c r="Y152" s="9"/>
      <c r="Z152" s="9"/>
    </row>
    <row r="153" ht="15.75" customHeight="1">
      <c r="A153" s="11"/>
      <c r="B153" s="11"/>
      <c r="C153" s="11"/>
      <c r="D153" s="11"/>
      <c r="E153" s="11"/>
      <c r="F153" s="9"/>
      <c r="G153" s="11"/>
      <c r="H153" s="11"/>
      <c r="I153" s="11"/>
      <c r="J153" s="11"/>
      <c r="K153" s="9"/>
      <c r="L153" s="11"/>
      <c r="M153" s="9"/>
      <c r="N153" s="9"/>
      <c r="O153" s="9"/>
      <c r="P153" s="9"/>
      <c r="Q153" s="9"/>
      <c r="R153" s="9"/>
      <c r="S153" s="9"/>
      <c r="T153" s="9"/>
      <c r="U153" s="9"/>
      <c r="V153" s="9"/>
      <c r="W153" s="9"/>
      <c r="X153" s="9"/>
      <c r="Y153" s="9"/>
      <c r="Z153" s="9"/>
    </row>
    <row r="154" ht="15.75" customHeight="1">
      <c r="A154" s="11"/>
      <c r="B154" s="11"/>
      <c r="C154" s="11"/>
      <c r="D154" s="11"/>
      <c r="E154" s="11"/>
      <c r="F154" s="9"/>
      <c r="G154" s="11"/>
      <c r="H154" s="11"/>
      <c r="I154" s="11"/>
      <c r="J154" s="11"/>
      <c r="K154" s="9"/>
      <c r="L154" s="11"/>
      <c r="M154" s="9"/>
      <c r="N154" s="9"/>
      <c r="O154" s="9"/>
      <c r="P154" s="9"/>
      <c r="Q154" s="9"/>
      <c r="R154" s="9"/>
      <c r="S154" s="9"/>
      <c r="T154" s="9"/>
      <c r="U154" s="9"/>
      <c r="V154" s="9"/>
      <c r="W154" s="9"/>
      <c r="X154" s="9"/>
      <c r="Y154" s="9"/>
      <c r="Z154" s="9"/>
    </row>
    <row r="155" ht="15.75" customHeight="1">
      <c r="A155" s="11"/>
      <c r="B155" s="11"/>
      <c r="C155" s="11"/>
      <c r="D155" s="11"/>
      <c r="E155" s="11"/>
      <c r="F155" s="9"/>
      <c r="G155" s="11"/>
      <c r="H155" s="11"/>
      <c r="I155" s="11"/>
      <c r="J155" s="11"/>
      <c r="K155" s="9"/>
      <c r="L155" s="11"/>
      <c r="M155" s="9"/>
      <c r="N155" s="9"/>
      <c r="O155" s="9"/>
      <c r="P155" s="9"/>
      <c r="Q155" s="9"/>
      <c r="R155" s="9"/>
      <c r="S155" s="9"/>
      <c r="T155" s="9"/>
      <c r="U155" s="9"/>
      <c r="V155" s="9"/>
      <c r="W155" s="9"/>
      <c r="X155" s="9"/>
      <c r="Y155" s="9"/>
      <c r="Z155" s="9"/>
    </row>
    <row r="156" ht="15.75" customHeight="1">
      <c r="A156" s="11"/>
      <c r="B156" s="11"/>
      <c r="C156" s="11"/>
      <c r="D156" s="11"/>
      <c r="E156" s="11"/>
      <c r="F156" s="9"/>
      <c r="G156" s="11"/>
      <c r="H156" s="11"/>
      <c r="I156" s="11"/>
      <c r="J156" s="11"/>
      <c r="K156" s="9"/>
      <c r="L156" s="11"/>
      <c r="M156" s="9"/>
      <c r="N156" s="9"/>
      <c r="O156" s="9"/>
      <c r="P156" s="9"/>
      <c r="Q156" s="9"/>
      <c r="R156" s="9"/>
      <c r="S156" s="9"/>
      <c r="T156" s="9"/>
      <c r="U156" s="9"/>
      <c r="V156" s="9"/>
      <c r="W156" s="9"/>
      <c r="X156" s="9"/>
      <c r="Y156" s="9"/>
      <c r="Z156" s="9"/>
    </row>
    <row r="157" ht="15.75" customHeight="1">
      <c r="A157" s="11"/>
      <c r="B157" s="11"/>
      <c r="C157" s="11"/>
      <c r="D157" s="11"/>
      <c r="E157" s="11"/>
      <c r="F157" s="9"/>
      <c r="G157" s="11"/>
      <c r="H157" s="11"/>
      <c r="I157" s="11"/>
      <c r="J157" s="11"/>
      <c r="K157" s="9"/>
      <c r="L157" s="11"/>
      <c r="M157" s="9"/>
      <c r="N157" s="9"/>
      <c r="O157" s="9"/>
      <c r="P157" s="9"/>
      <c r="Q157" s="9"/>
      <c r="R157" s="9"/>
      <c r="S157" s="9"/>
      <c r="T157" s="9"/>
      <c r="U157" s="9"/>
      <c r="V157" s="9"/>
      <c r="W157" s="9"/>
      <c r="X157" s="9"/>
      <c r="Y157" s="9"/>
      <c r="Z157" s="9"/>
    </row>
    <row r="158" ht="15.75" customHeight="1">
      <c r="A158" s="11"/>
      <c r="B158" s="11"/>
      <c r="C158" s="11"/>
      <c r="D158" s="11"/>
      <c r="E158" s="11"/>
      <c r="F158" s="9"/>
      <c r="G158" s="11"/>
      <c r="H158" s="11"/>
      <c r="I158" s="11"/>
      <c r="J158" s="11"/>
      <c r="K158" s="9"/>
      <c r="L158" s="11"/>
      <c r="M158" s="9"/>
      <c r="N158" s="9"/>
      <c r="O158" s="9"/>
      <c r="P158" s="9"/>
      <c r="Q158" s="9"/>
      <c r="R158" s="9"/>
      <c r="S158" s="9"/>
      <c r="T158" s="9"/>
      <c r="U158" s="9"/>
      <c r="V158" s="9"/>
      <c r="W158" s="9"/>
      <c r="X158" s="9"/>
      <c r="Y158" s="9"/>
      <c r="Z158" s="9"/>
    </row>
    <row r="159" ht="15.75" customHeight="1">
      <c r="A159" s="11"/>
      <c r="B159" s="11"/>
      <c r="C159" s="11"/>
      <c r="D159" s="11"/>
      <c r="E159" s="11"/>
      <c r="F159" s="9"/>
      <c r="G159" s="11"/>
      <c r="H159" s="11"/>
      <c r="I159" s="11"/>
      <c r="J159" s="11"/>
      <c r="K159" s="9"/>
      <c r="L159" s="11"/>
      <c r="M159" s="9"/>
      <c r="N159" s="9"/>
      <c r="O159" s="9"/>
      <c r="P159" s="9"/>
      <c r="Q159" s="9"/>
      <c r="R159" s="9"/>
      <c r="S159" s="9"/>
      <c r="T159" s="9"/>
      <c r="U159" s="9"/>
      <c r="V159" s="9"/>
      <c r="W159" s="9"/>
      <c r="X159" s="9"/>
      <c r="Y159" s="9"/>
      <c r="Z159" s="9"/>
    </row>
    <row r="160" ht="15.75" customHeight="1">
      <c r="A160" s="11"/>
      <c r="B160" s="11"/>
      <c r="C160" s="11"/>
      <c r="D160" s="11"/>
      <c r="E160" s="11"/>
      <c r="F160" s="9"/>
      <c r="G160" s="11"/>
      <c r="H160" s="11"/>
      <c r="I160" s="11"/>
      <c r="J160" s="11"/>
      <c r="K160" s="9"/>
      <c r="L160" s="11"/>
      <c r="M160" s="9"/>
      <c r="N160" s="9"/>
      <c r="O160" s="9"/>
      <c r="P160" s="9"/>
      <c r="Q160" s="9"/>
      <c r="R160" s="9"/>
      <c r="S160" s="9"/>
      <c r="T160" s="9"/>
      <c r="U160" s="9"/>
      <c r="V160" s="9"/>
      <c r="W160" s="9"/>
      <c r="X160" s="9"/>
      <c r="Y160" s="9"/>
      <c r="Z160" s="9"/>
    </row>
    <row r="161" ht="15.75" customHeight="1">
      <c r="A161" s="11"/>
      <c r="B161" s="11"/>
      <c r="C161" s="11"/>
      <c r="D161" s="11"/>
      <c r="E161" s="11"/>
      <c r="F161" s="9"/>
      <c r="G161" s="11"/>
      <c r="H161" s="11"/>
      <c r="I161" s="11"/>
      <c r="J161" s="11"/>
      <c r="K161" s="9"/>
      <c r="L161" s="11"/>
      <c r="M161" s="9"/>
      <c r="N161" s="9"/>
      <c r="O161" s="9"/>
      <c r="P161" s="9"/>
      <c r="Q161" s="9"/>
      <c r="R161" s="9"/>
      <c r="S161" s="9"/>
      <c r="T161" s="9"/>
      <c r="U161" s="9"/>
      <c r="V161" s="9"/>
      <c r="W161" s="9"/>
      <c r="X161" s="9"/>
      <c r="Y161" s="9"/>
      <c r="Z161" s="9"/>
    </row>
    <row r="162" ht="15.75" customHeight="1">
      <c r="A162" s="11"/>
      <c r="B162" s="11"/>
      <c r="C162" s="11"/>
      <c r="D162" s="11"/>
      <c r="E162" s="11"/>
      <c r="F162" s="9"/>
      <c r="G162" s="11"/>
      <c r="H162" s="11"/>
      <c r="I162" s="11"/>
      <c r="J162" s="11"/>
      <c r="K162" s="9"/>
      <c r="L162" s="11"/>
      <c r="M162" s="9"/>
      <c r="N162" s="9"/>
      <c r="O162" s="9"/>
      <c r="P162" s="9"/>
      <c r="Q162" s="9"/>
      <c r="R162" s="9"/>
      <c r="S162" s="9"/>
      <c r="T162" s="9"/>
      <c r="U162" s="9"/>
      <c r="V162" s="9"/>
      <c r="W162" s="9"/>
      <c r="X162" s="9"/>
      <c r="Y162" s="9"/>
      <c r="Z162" s="9"/>
    </row>
    <row r="163" ht="15.75" customHeight="1">
      <c r="A163" s="11"/>
      <c r="B163" s="11"/>
      <c r="C163" s="11"/>
      <c r="D163" s="11"/>
      <c r="E163" s="11"/>
      <c r="F163" s="9"/>
      <c r="G163" s="11"/>
      <c r="H163" s="11"/>
      <c r="I163" s="11"/>
      <c r="J163" s="11"/>
      <c r="K163" s="9"/>
      <c r="L163" s="11"/>
      <c r="M163" s="9"/>
      <c r="N163" s="9"/>
      <c r="O163" s="9"/>
      <c r="P163" s="9"/>
      <c r="Q163" s="9"/>
      <c r="R163" s="9"/>
      <c r="S163" s="9"/>
      <c r="T163" s="9"/>
      <c r="U163" s="9"/>
      <c r="V163" s="9"/>
      <c r="W163" s="9"/>
      <c r="X163" s="9"/>
      <c r="Y163" s="9"/>
      <c r="Z163" s="9"/>
    </row>
    <row r="164" ht="15.75" customHeight="1">
      <c r="A164" s="11"/>
      <c r="B164" s="11"/>
      <c r="C164" s="11"/>
      <c r="D164" s="11"/>
      <c r="E164" s="11"/>
      <c r="F164" s="9"/>
      <c r="G164" s="11"/>
      <c r="H164" s="11"/>
      <c r="I164" s="11"/>
      <c r="J164" s="11"/>
      <c r="K164" s="9"/>
      <c r="L164" s="11"/>
      <c r="M164" s="9"/>
      <c r="N164" s="9"/>
      <c r="O164" s="9"/>
      <c r="P164" s="9"/>
      <c r="Q164" s="9"/>
      <c r="R164" s="9"/>
      <c r="S164" s="9"/>
      <c r="T164" s="9"/>
      <c r="U164" s="9"/>
      <c r="V164" s="9"/>
      <c r="W164" s="9"/>
      <c r="X164" s="9"/>
      <c r="Y164" s="9"/>
      <c r="Z164" s="9"/>
    </row>
    <row r="165" ht="15.75" customHeight="1">
      <c r="A165" s="11"/>
      <c r="B165" s="11"/>
      <c r="C165" s="11"/>
      <c r="D165" s="11"/>
      <c r="E165" s="11"/>
      <c r="F165" s="9"/>
      <c r="G165" s="11"/>
      <c r="H165" s="11"/>
      <c r="I165" s="11"/>
      <c r="J165" s="11"/>
      <c r="K165" s="9"/>
      <c r="L165" s="11"/>
      <c r="M165" s="9"/>
      <c r="N165" s="9"/>
      <c r="O165" s="9"/>
      <c r="P165" s="9"/>
      <c r="Q165" s="9"/>
      <c r="R165" s="9"/>
      <c r="S165" s="9"/>
      <c r="T165" s="9"/>
      <c r="U165" s="9"/>
      <c r="V165" s="9"/>
      <c r="W165" s="9"/>
      <c r="X165" s="9"/>
      <c r="Y165" s="9"/>
      <c r="Z165" s="9"/>
    </row>
    <row r="166" ht="15.75" customHeight="1">
      <c r="A166" s="11"/>
      <c r="B166" s="11"/>
      <c r="C166" s="11"/>
      <c r="D166" s="11"/>
      <c r="E166" s="11"/>
      <c r="F166" s="9"/>
      <c r="G166" s="11"/>
      <c r="H166" s="11"/>
      <c r="I166" s="11"/>
      <c r="J166" s="11"/>
      <c r="K166" s="9"/>
      <c r="L166" s="11"/>
      <c r="M166" s="9"/>
      <c r="N166" s="9"/>
      <c r="O166" s="9"/>
      <c r="P166" s="9"/>
      <c r="Q166" s="9"/>
      <c r="R166" s="9"/>
      <c r="S166" s="9"/>
      <c r="T166" s="9"/>
      <c r="U166" s="9"/>
      <c r="V166" s="9"/>
      <c r="W166" s="9"/>
      <c r="X166" s="9"/>
      <c r="Y166" s="9"/>
      <c r="Z166" s="9"/>
    </row>
    <row r="167" ht="15.75" customHeight="1">
      <c r="A167" s="11"/>
      <c r="B167" s="11"/>
      <c r="C167" s="11"/>
      <c r="D167" s="11"/>
      <c r="E167" s="11"/>
      <c r="F167" s="9"/>
      <c r="G167" s="11"/>
      <c r="H167" s="11"/>
      <c r="I167" s="11"/>
      <c r="J167" s="11"/>
      <c r="K167" s="9"/>
      <c r="L167" s="11"/>
      <c r="M167" s="9"/>
      <c r="N167" s="9"/>
      <c r="O167" s="9"/>
      <c r="P167" s="9"/>
      <c r="Q167" s="9"/>
      <c r="R167" s="9"/>
      <c r="S167" s="9"/>
      <c r="T167" s="9"/>
      <c r="U167" s="9"/>
      <c r="V167" s="9"/>
      <c r="W167" s="9"/>
      <c r="X167" s="9"/>
      <c r="Y167" s="9"/>
      <c r="Z167" s="9"/>
    </row>
    <row r="168" ht="15.75" customHeight="1">
      <c r="A168" s="11"/>
      <c r="B168" s="11"/>
      <c r="C168" s="11"/>
      <c r="D168" s="11"/>
      <c r="E168" s="11"/>
      <c r="F168" s="9"/>
      <c r="G168" s="11"/>
      <c r="H168" s="11"/>
      <c r="I168" s="11"/>
      <c r="J168" s="11"/>
      <c r="K168" s="9"/>
      <c r="L168" s="11"/>
      <c r="M168" s="9"/>
      <c r="N168" s="9"/>
      <c r="O168" s="9"/>
      <c r="P168" s="9"/>
      <c r="Q168" s="9"/>
      <c r="R168" s="9"/>
      <c r="S168" s="9"/>
      <c r="T168" s="9"/>
      <c r="U168" s="9"/>
      <c r="V168" s="9"/>
      <c r="W168" s="9"/>
      <c r="X168" s="9"/>
      <c r="Y168" s="9"/>
      <c r="Z168" s="9"/>
    </row>
    <row r="169" ht="15.75" customHeight="1">
      <c r="A169" s="11"/>
      <c r="B169" s="11"/>
      <c r="C169" s="11"/>
      <c r="D169" s="11"/>
      <c r="E169" s="11"/>
      <c r="F169" s="9"/>
      <c r="G169" s="11"/>
      <c r="H169" s="11"/>
      <c r="I169" s="11"/>
      <c r="J169" s="11"/>
      <c r="K169" s="9"/>
      <c r="L169" s="11"/>
      <c r="M169" s="9"/>
      <c r="N169" s="9"/>
      <c r="O169" s="9"/>
      <c r="P169" s="9"/>
      <c r="Q169" s="9"/>
      <c r="R169" s="9"/>
      <c r="S169" s="9"/>
      <c r="T169" s="9"/>
      <c r="U169" s="9"/>
      <c r="V169" s="9"/>
      <c r="W169" s="9"/>
      <c r="X169" s="9"/>
      <c r="Y169" s="9"/>
      <c r="Z169" s="9"/>
    </row>
    <row r="170" ht="15.75" customHeight="1">
      <c r="A170" s="11"/>
      <c r="B170" s="11"/>
      <c r="C170" s="11"/>
      <c r="D170" s="11"/>
      <c r="E170" s="11"/>
      <c r="F170" s="9"/>
      <c r="G170" s="11"/>
      <c r="H170" s="11"/>
      <c r="I170" s="11"/>
      <c r="J170" s="11"/>
      <c r="K170" s="9"/>
      <c r="L170" s="11"/>
      <c r="M170" s="9"/>
      <c r="N170" s="9"/>
      <c r="O170" s="9"/>
      <c r="P170" s="9"/>
      <c r="Q170" s="9"/>
      <c r="R170" s="9"/>
      <c r="S170" s="9"/>
      <c r="T170" s="9"/>
      <c r="U170" s="9"/>
      <c r="V170" s="9"/>
      <c r="W170" s="9"/>
      <c r="X170" s="9"/>
      <c r="Y170" s="9"/>
      <c r="Z170" s="9"/>
    </row>
    <row r="171" ht="15.75" customHeight="1">
      <c r="A171" s="11"/>
      <c r="B171" s="11"/>
      <c r="C171" s="11"/>
      <c r="D171" s="11"/>
      <c r="E171" s="11"/>
      <c r="F171" s="9"/>
      <c r="G171" s="11"/>
      <c r="H171" s="11"/>
      <c r="I171" s="11"/>
      <c r="J171" s="11"/>
      <c r="K171" s="9"/>
      <c r="L171" s="11"/>
      <c r="M171" s="9"/>
      <c r="N171" s="9"/>
      <c r="O171" s="9"/>
      <c r="P171" s="9"/>
      <c r="Q171" s="9"/>
      <c r="R171" s="9"/>
      <c r="S171" s="9"/>
      <c r="T171" s="9"/>
      <c r="U171" s="9"/>
      <c r="V171" s="9"/>
      <c r="W171" s="9"/>
      <c r="X171" s="9"/>
      <c r="Y171" s="9"/>
      <c r="Z171" s="9"/>
    </row>
    <row r="172" ht="15.75" customHeight="1">
      <c r="A172" s="11"/>
      <c r="B172" s="11"/>
      <c r="C172" s="11"/>
      <c r="D172" s="11"/>
      <c r="E172" s="11"/>
      <c r="F172" s="9"/>
      <c r="G172" s="11"/>
      <c r="H172" s="11"/>
      <c r="I172" s="11"/>
      <c r="J172" s="11"/>
      <c r="K172" s="9"/>
      <c r="L172" s="11"/>
      <c r="M172" s="9"/>
      <c r="N172" s="9"/>
      <c r="O172" s="9"/>
      <c r="P172" s="9"/>
      <c r="Q172" s="9"/>
      <c r="R172" s="9"/>
      <c r="S172" s="9"/>
      <c r="T172" s="9"/>
      <c r="U172" s="9"/>
      <c r="V172" s="9"/>
      <c r="W172" s="9"/>
      <c r="X172" s="9"/>
      <c r="Y172" s="9"/>
      <c r="Z172" s="9"/>
    </row>
    <row r="173" ht="15.75" customHeight="1">
      <c r="A173" s="11"/>
      <c r="B173" s="11"/>
      <c r="C173" s="11"/>
      <c r="D173" s="11"/>
      <c r="E173" s="11"/>
      <c r="F173" s="9"/>
      <c r="G173" s="11"/>
      <c r="H173" s="11"/>
      <c r="I173" s="11"/>
      <c r="J173" s="11"/>
      <c r="K173" s="9"/>
      <c r="L173" s="11"/>
      <c r="M173" s="9"/>
      <c r="N173" s="9"/>
      <c r="O173" s="9"/>
      <c r="P173" s="9"/>
      <c r="Q173" s="9"/>
      <c r="R173" s="9"/>
      <c r="S173" s="9"/>
      <c r="T173" s="9"/>
      <c r="U173" s="9"/>
      <c r="V173" s="9"/>
      <c r="W173" s="9"/>
      <c r="X173" s="9"/>
      <c r="Y173" s="9"/>
      <c r="Z173" s="9"/>
    </row>
    <row r="174" ht="15.75" customHeight="1">
      <c r="A174" s="11"/>
      <c r="B174" s="11"/>
      <c r="C174" s="11"/>
      <c r="D174" s="11"/>
      <c r="E174" s="11"/>
      <c r="F174" s="9"/>
      <c r="G174" s="11"/>
      <c r="H174" s="11"/>
      <c r="I174" s="11"/>
      <c r="J174" s="11"/>
      <c r="K174" s="9"/>
      <c r="L174" s="11"/>
      <c r="M174" s="9"/>
      <c r="N174" s="9"/>
      <c r="O174" s="9"/>
      <c r="P174" s="9"/>
      <c r="Q174" s="9"/>
      <c r="R174" s="9"/>
      <c r="S174" s="9"/>
      <c r="T174" s="9"/>
      <c r="U174" s="9"/>
      <c r="V174" s="9"/>
      <c r="W174" s="9"/>
      <c r="X174" s="9"/>
      <c r="Y174" s="9"/>
      <c r="Z174" s="9"/>
    </row>
    <row r="175" ht="15.75" customHeight="1">
      <c r="A175" s="11"/>
      <c r="B175" s="11"/>
      <c r="C175" s="11"/>
      <c r="D175" s="11"/>
      <c r="E175" s="11"/>
      <c r="F175" s="9"/>
      <c r="G175" s="11"/>
      <c r="H175" s="11"/>
      <c r="I175" s="11"/>
      <c r="J175" s="11"/>
      <c r="K175" s="9"/>
      <c r="L175" s="11"/>
      <c r="M175" s="9"/>
      <c r="N175" s="9"/>
      <c r="O175" s="9"/>
      <c r="P175" s="9"/>
      <c r="Q175" s="9"/>
      <c r="R175" s="9"/>
      <c r="S175" s="9"/>
      <c r="T175" s="9"/>
      <c r="U175" s="9"/>
      <c r="V175" s="9"/>
      <c r="W175" s="9"/>
      <c r="X175" s="9"/>
      <c r="Y175" s="9"/>
      <c r="Z175" s="9"/>
    </row>
    <row r="176" ht="15.75" customHeight="1">
      <c r="A176" s="11"/>
      <c r="B176" s="11"/>
      <c r="C176" s="11"/>
      <c r="D176" s="11"/>
      <c r="E176" s="11"/>
      <c r="F176" s="9"/>
      <c r="G176" s="11"/>
      <c r="H176" s="11"/>
      <c r="I176" s="11"/>
      <c r="J176" s="11"/>
      <c r="K176" s="9"/>
      <c r="L176" s="11"/>
      <c r="M176" s="9"/>
      <c r="N176" s="9"/>
      <c r="O176" s="9"/>
      <c r="P176" s="9"/>
      <c r="Q176" s="9"/>
      <c r="R176" s="9"/>
      <c r="S176" s="9"/>
      <c r="T176" s="9"/>
      <c r="U176" s="9"/>
      <c r="V176" s="9"/>
      <c r="W176" s="9"/>
      <c r="X176" s="9"/>
      <c r="Y176" s="9"/>
      <c r="Z176" s="9"/>
    </row>
    <row r="177" ht="15.75" customHeight="1">
      <c r="A177" s="11"/>
      <c r="B177" s="11"/>
      <c r="C177" s="11"/>
      <c r="D177" s="11"/>
      <c r="E177" s="11"/>
      <c r="F177" s="9"/>
      <c r="G177" s="11"/>
      <c r="H177" s="11"/>
      <c r="I177" s="11"/>
      <c r="J177" s="11"/>
      <c r="K177" s="9"/>
      <c r="L177" s="11"/>
      <c r="M177" s="9"/>
      <c r="N177" s="9"/>
      <c r="O177" s="9"/>
      <c r="P177" s="9"/>
      <c r="Q177" s="9"/>
      <c r="R177" s="9"/>
      <c r="S177" s="9"/>
      <c r="T177" s="9"/>
      <c r="U177" s="9"/>
      <c r="V177" s="9"/>
      <c r="W177" s="9"/>
      <c r="X177" s="9"/>
      <c r="Y177" s="9"/>
      <c r="Z177" s="9"/>
    </row>
    <row r="178" ht="15.75" customHeight="1">
      <c r="A178" s="11"/>
      <c r="B178" s="11"/>
      <c r="C178" s="11"/>
      <c r="D178" s="11"/>
      <c r="E178" s="11"/>
      <c r="F178" s="9"/>
      <c r="G178" s="11"/>
      <c r="H178" s="11"/>
      <c r="I178" s="11"/>
      <c r="J178" s="11"/>
      <c r="K178" s="9"/>
      <c r="L178" s="11"/>
      <c r="M178" s="9"/>
      <c r="N178" s="9"/>
      <c r="O178" s="9"/>
      <c r="P178" s="9"/>
      <c r="Q178" s="9"/>
      <c r="R178" s="9"/>
      <c r="S178" s="9"/>
      <c r="T178" s="9"/>
      <c r="U178" s="9"/>
      <c r="V178" s="9"/>
      <c r="W178" s="9"/>
      <c r="X178" s="9"/>
      <c r="Y178" s="9"/>
      <c r="Z178" s="9"/>
    </row>
    <row r="179" ht="15.75" customHeight="1">
      <c r="A179" s="11"/>
      <c r="B179" s="11"/>
      <c r="C179" s="11"/>
      <c r="D179" s="11"/>
      <c r="E179" s="11"/>
      <c r="F179" s="9"/>
      <c r="G179" s="11"/>
      <c r="H179" s="11"/>
      <c r="I179" s="11"/>
      <c r="J179" s="11"/>
      <c r="K179" s="9"/>
      <c r="L179" s="11"/>
      <c r="M179" s="9"/>
      <c r="N179" s="9"/>
      <c r="O179" s="9"/>
      <c r="P179" s="9"/>
      <c r="Q179" s="9"/>
      <c r="R179" s="9"/>
      <c r="S179" s="9"/>
      <c r="T179" s="9"/>
      <c r="U179" s="9"/>
      <c r="V179" s="9"/>
      <c r="W179" s="9"/>
      <c r="X179" s="9"/>
      <c r="Y179" s="9"/>
      <c r="Z179" s="9"/>
    </row>
    <row r="180" ht="15.75" customHeight="1">
      <c r="A180" s="11"/>
      <c r="B180" s="11"/>
      <c r="C180" s="11"/>
      <c r="D180" s="11"/>
      <c r="E180" s="11"/>
      <c r="F180" s="9"/>
      <c r="G180" s="11"/>
      <c r="H180" s="11"/>
      <c r="I180" s="11"/>
      <c r="J180" s="11"/>
      <c r="K180" s="9"/>
      <c r="L180" s="11"/>
      <c r="M180" s="9"/>
      <c r="N180" s="9"/>
      <c r="O180" s="9"/>
      <c r="P180" s="9"/>
      <c r="Q180" s="9"/>
      <c r="R180" s="9"/>
      <c r="S180" s="9"/>
      <c r="T180" s="9"/>
      <c r="U180" s="9"/>
      <c r="V180" s="9"/>
      <c r="W180" s="9"/>
      <c r="X180" s="9"/>
      <c r="Y180" s="9"/>
      <c r="Z180" s="9"/>
    </row>
    <row r="181" ht="15.75" customHeight="1">
      <c r="A181" s="11"/>
      <c r="B181" s="11"/>
      <c r="C181" s="11"/>
      <c r="D181" s="11"/>
      <c r="E181" s="11"/>
      <c r="F181" s="9"/>
      <c r="G181" s="11"/>
      <c r="H181" s="11"/>
      <c r="I181" s="11"/>
      <c r="J181" s="11"/>
      <c r="K181" s="9"/>
      <c r="L181" s="11"/>
      <c r="M181" s="9"/>
      <c r="N181" s="9"/>
      <c r="O181" s="9"/>
      <c r="P181" s="9"/>
      <c r="Q181" s="9"/>
      <c r="R181" s="9"/>
      <c r="S181" s="9"/>
      <c r="T181" s="9"/>
      <c r="U181" s="9"/>
      <c r="V181" s="9"/>
      <c r="W181" s="9"/>
      <c r="X181" s="9"/>
      <c r="Y181" s="9"/>
      <c r="Z181" s="9"/>
    </row>
    <row r="182" ht="15.75" customHeight="1">
      <c r="A182" s="11"/>
      <c r="B182" s="11"/>
      <c r="C182" s="11"/>
      <c r="D182" s="11"/>
      <c r="E182" s="11"/>
      <c r="F182" s="9"/>
      <c r="G182" s="11"/>
      <c r="H182" s="11"/>
      <c r="I182" s="11"/>
      <c r="J182" s="11"/>
      <c r="K182" s="9"/>
      <c r="L182" s="11"/>
      <c r="M182" s="9"/>
      <c r="N182" s="9"/>
      <c r="O182" s="9"/>
      <c r="P182" s="9"/>
      <c r="Q182" s="9"/>
      <c r="R182" s="9"/>
      <c r="S182" s="9"/>
      <c r="T182" s="9"/>
      <c r="U182" s="9"/>
      <c r="V182" s="9"/>
      <c r="W182" s="9"/>
      <c r="X182" s="9"/>
      <c r="Y182" s="9"/>
      <c r="Z182" s="9"/>
    </row>
    <row r="183" ht="15.75" customHeight="1">
      <c r="A183" s="11"/>
      <c r="B183" s="11"/>
      <c r="C183" s="11"/>
      <c r="D183" s="11"/>
      <c r="E183" s="11"/>
      <c r="F183" s="9"/>
      <c r="G183" s="11"/>
      <c r="H183" s="11"/>
      <c r="I183" s="11"/>
      <c r="J183" s="11"/>
      <c r="K183" s="9"/>
      <c r="L183" s="11"/>
      <c r="M183" s="9"/>
      <c r="N183" s="9"/>
      <c r="O183" s="9"/>
      <c r="P183" s="9"/>
      <c r="Q183" s="9"/>
      <c r="R183" s="9"/>
      <c r="S183" s="9"/>
      <c r="T183" s="9"/>
      <c r="U183" s="9"/>
      <c r="V183" s="9"/>
      <c r="W183" s="9"/>
      <c r="X183" s="9"/>
      <c r="Y183" s="9"/>
      <c r="Z183" s="9"/>
    </row>
    <row r="184" ht="15.75" customHeight="1">
      <c r="A184" s="11"/>
      <c r="B184" s="11"/>
      <c r="C184" s="11"/>
      <c r="D184" s="11"/>
      <c r="E184" s="11"/>
      <c r="F184" s="9"/>
      <c r="G184" s="11"/>
      <c r="H184" s="11"/>
      <c r="I184" s="11"/>
      <c r="J184" s="11"/>
      <c r="K184" s="9"/>
      <c r="L184" s="11"/>
      <c r="M184" s="9"/>
      <c r="N184" s="9"/>
      <c r="O184" s="9"/>
      <c r="P184" s="9"/>
      <c r="Q184" s="9"/>
      <c r="R184" s="9"/>
      <c r="S184" s="9"/>
      <c r="T184" s="9"/>
      <c r="U184" s="9"/>
      <c r="V184" s="9"/>
      <c r="W184" s="9"/>
      <c r="X184" s="9"/>
      <c r="Y184" s="9"/>
      <c r="Z184" s="9"/>
    </row>
    <row r="185" ht="15.75" customHeight="1">
      <c r="A185" s="11"/>
      <c r="B185" s="11"/>
      <c r="C185" s="11"/>
      <c r="D185" s="11"/>
      <c r="E185" s="11"/>
      <c r="F185" s="9"/>
      <c r="G185" s="11"/>
      <c r="H185" s="11"/>
      <c r="I185" s="11"/>
      <c r="J185" s="11"/>
      <c r="K185" s="9"/>
      <c r="L185" s="11"/>
      <c r="M185" s="9"/>
      <c r="N185" s="9"/>
      <c r="O185" s="9"/>
      <c r="P185" s="9"/>
      <c r="Q185" s="9"/>
      <c r="R185" s="9"/>
      <c r="S185" s="9"/>
      <c r="T185" s="9"/>
      <c r="U185" s="9"/>
      <c r="V185" s="9"/>
      <c r="W185" s="9"/>
      <c r="X185" s="9"/>
      <c r="Y185" s="9"/>
      <c r="Z185" s="9"/>
    </row>
    <row r="186" ht="15.75" customHeight="1">
      <c r="A186" s="11"/>
      <c r="B186" s="11"/>
      <c r="C186" s="11"/>
      <c r="D186" s="11"/>
      <c r="E186" s="11"/>
      <c r="F186" s="9"/>
      <c r="G186" s="11"/>
      <c r="H186" s="11"/>
      <c r="I186" s="11"/>
      <c r="J186" s="11"/>
      <c r="K186" s="9"/>
      <c r="L186" s="11"/>
      <c r="M186" s="9"/>
      <c r="N186" s="9"/>
      <c r="O186" s="9"/>
      <c r="P186" s="9"/>
      <c r="Q186" s="9"/>
      <c r="R186" s="9"/>
      <c r="S186" s="9"/>
      <c r="T186" s="9"/>
      <c r="U186" s="9"/>
      <c r="V186" s="9"/>
      <c r="W186" s="9"/>
      <c r="X186" s="9"/>
      <c r="Y186" s="9"/>
      <c r="Z186" s="9"/>
    </row>
    <row r="187" ht="15.75" customHeight="1">
      <c r="A187" s="11"/>
      <c r="B187" s="11"/>
      <c r="C187" s="11"/>
      <c r="D187" s="11"/>
      <c r="E187" s="11"/>
      <c r="F187" s="9"/>
      <c r="G187" s="11"/>
      <c r="H187" s="11"/>
      <c r="I187" s="11"/>
      <c r="J187" s="11"/>
      <c r="K187" s="9"/>
      <c r="L187" s="11"/>
      <c r="M187" s="9"/>
      <c r="N187" s="9"/>
      <c r="O187" s="9"/>
      <c r="P187" s="9"/>
      <c r="Q187" s="9"/>
      <c r="R187" s="9"/>
      <c r="S187" s="9"/>
      <c r="T187" s="9"/>
      <c r="U187" s="9"/>
      <c r="V187" s="9"/>
      <c r="W187" s="9"/>
      <c r="X187" s="9"/>
      <c r="Y187" s="9"/>
      <c r="Z187" s="9"/>
    </row>
    <row r="188" ht="15.75" customHeight="1">
      <c r="A188" s="11"/>
      <c r="B188" s="11"/>
      <c r="C188" s="11"/>
      <c r="D188" s="11"/>
      <c r="E188" s="11"/>
      <c r="F188" s="9"/>
      <c r="G188" s="11"/>
      <c r="H188" s="11"/>
      <c r="I188" s="11"/>
      <c r="J188" s="11"/>
      <c r="K188" s="9"/>
      <c r="L188" s="11"/>
      <c r="M188" s="9"/>
      <c r="N188" s="9"/>
      <c r="O188" s="9"/>
      <c r="P188" s="9"/>
      <c r="Q188" s="9"/>
      <c r="R188" s="9"/>
      <c r="S188" s="9"/>
      <c r="T188" s="9"/>
      <c r="U188" s="9"/>
      <c r="V188" s="9"/>
      <c r="W188" s="9"/>
      <c r="X188" s="9"/>
      <c r="Y188" s="9"/>
      <c r="Z188" s="9"/>
    </row>
    <row r="189" ht="15.75" customHeight="1">
      <c r="A189" s="11"/>
      <c r="B189" s="11"/>
      <c r="C189" s="11"/>
      <c r="D189" s="11"/>
      <c r="E189" s="11"/>
      <c r="F189" s="9"/>
      <c r="G189" s="11"/>
      <c r="H189" s="11"/>
      <c r="I189" s="11"/>
      <c r="J189" s="11"/>
      <c r="K189" s="9"/>
      <c r="L189" s="11"/>
      <c r="M189" s="9"/>
      <c r="N189" s="9"/>
      <c r="O189" s="9"/>
      <c r="P189" s="9"/>
      <c r="Q189" s="9"/>
      <c r="R189" s="9"/>
      <c r="S189" s="9"/>
      <c r="T189" s="9"/>
      <c r="U189" s="9"/>
      <c r="V189" s="9"/>
      <c r="W189" s="9"/>
      <c r="X189" s="9"/>
      <c r="Y189" s="9"/>
      <c r="Z189" s="9"/>
    </row>
    <row r="190" ht="15.75" customHeight="1">
      <c r="A190" s="11"/>
      <c r="B190" s="11"/>
      <c r="C190" s="11"/>
      <c r="D190" s="11"/>
      <c r="E190" s="11"/>
      <c r="F190" s="9"/>
      <c r="G190" s="11"/>
      <c r="H190" s="11"/>
      <c r="I190" s="11"/>
      <c r="J190" s="11"/>
      <c r="K190" s="9"/>
      <c r="L190" s="11"/>
      <c r="M190" s="9"/>
      <c r="N190" s="9"/>
      <c r="O190" s="9"/>
      <c r="P190" s="9"/>
      <c r="Q190" s="9"/>
      <c r="R190" s="9"/>
      <c r="S190" s="9"/>
      <c r="T190" s="9"/>
      <c r="U190" s="9"/>
      <c r="V190" s="9"/>
      <c r="W190" s="9"/>
      <c r="X190" s="9"/>
      <c r="Y190" s="9"/>
      <c r="Z190" s="9"/>
    </row>
    <row r="191" ht="15.75" customHeight="1">
      <c r="A191" s="11"/>
      <c r="B191" s="11"/>
      <c r="C191" s="11"/>
      <c r="D191" s="11"/>
      <c r="E191" s="11"/>
      <c r="F191" s="9"/>
      <c r="G191" s="11"/>
      <c r="H191" s="11"/>
      <c r="I191" s="11"/>
      <c r="J191" s="11"/>
      <c r="K191" s="9"/>
      <c r="L191" s="11"/>
      <c r="M191" s="9"/>
      <c r="N191" s="9"/>
      <c r="O191" s="9"/>
      <c r="P191" s="9"/>
      <c r="Q191" s="9"/>
      <c r="R191" s="9"/>
      <c r="S191" s="9"/>
      <c r="T191" s="9"/>
      <c r="U191" s="9"/>
      <c r="V191" s="9"/>
      <c r="W191" s="9"/>
      <c r="X191" s="9"/>
      <c r="Y191" s="9"/>
      <c r="Z191" s="9"/>
    </row>
    <row r="192" ht="15.75" customHeight="1">
      <c r="A192" s="11"/>
      <c r="B192" s="11"/>
      <c r="C192" s="11"/>
      <c r="D192" s="11"/>
      <c r="E192" s="11"/>
      <c r="F192" s="9"/>
      <c r="G192" s="11"/>
      <c r="H192" s="11"/>
      <c r="I192" s="11"/>
      <c r="J192" s="11"/>
      <c r="K192" s="9"/>
      <c r="L192" s="11"/>
      <c r="M192" s="9"/>
      <c r="N192" s="9"/>
      <c r="O192" s="9"/>
      <c r="P192" s="9"/>
      <c r="Q192" s="9"/>
      <c r="R192" s="9"/>
      <c r="S192" s="9"/>
      <c r="T192" s="9"/>
      <c r="U192" s="9"/>
      <c r="V192" s="9"/>
      <c r="W192" s="9"/>
      <c r="X192" s="9"/>
      <c r="Y192" s="9"/>
      <c r="Z192" s="9"/>
    </row>
    <row r="193" ht="15.75" customHeight="1">
      <c r="A193" s="11"/>
      <c r="B193" s="11"/>
      <c r="C193" s="11"/>
      <c r="D193" s="11"/>
      <c r="E193" s="11"/>
      <c r="F193" s="9"/>
      <c r="G193" s="11"/>
      <c r="H193" s="11"/>
      <c r="I193" s="11"/>
      <c r="J193" s="11"/>
      <c r="K193" s="9"/>
      <c r="L193" s="11"/>
      <c r="M193" s="9"/>
      <c r="N193" s="9"/>
      <c r="O193" s="9"/>
      <c r="P193" s="9"/>
      <c r="Q193" s="9"/>
      <c r="R193" s="9"/>
      <c r="S193" s="9"/>
      <c r="T193" s="9"/>
      <c r="U193" s="9"/>
      <c r="V193" s="9"/>
      <c r="W193" s="9"/>
      <c r="X193" s="9"/>
      <c r="Y193" s="9"/>
      <c r="Z193" s="9"/>
    </row>
    <row r="194" ht="15.75" customHeight="1">
      <c r="A194" s="11"/>
      <c r="B194" s="11"/>
      <c r="C194" s="11"/>
      <c r="D194" s="11"/>
      <c r="E194" s="11"/>
      <c r="F194" s="9"/>
      <c r="G194" s="11"/>
      <c r="H194" s="11"/>
      <c r="I194" s="11"/>
      <c r="J194" s="11"/>
      <c r="K194" s="9"/>
      <c r="L194" s="11"/>
      <c r="M194" s="9"/>
      <c r="N194" s="9"/>
      <c r="O194" s="9"/>
      <c r="P194" s="9"/>
      <c r="Q194" s="9"/>
      <c r="R194" s="9"/>
      <c r="S194" s="9"/>
      <c r="T194" s="9"/>
      <c r="U194" s="9"/>
      <c r="V194" s="9"/>
      <c r="W194" s="9"/>
      <c r="X194" s="9"/>
      <c r="Y194" s="9"/>
      <c r="Z194" s="9"/>
    </row>
    <row r="195" ht="15.75" customHeight="1">
      <c r="A195" s="11"/>
      <c r="B195" s="11"/>
      <c r="C195" s="11"/>
      <c r="D195" s="11"/>
      <c r="E195" s="11"/>
      <c r="F195" s="9"/>
      <c r="G195" s="11"/>
      <c r="H195" s="11"/>
      <c r="I195" s="11"/>
      <c r="J195" s="11"/>
      <c r="K195" s="9"/>
      <c r="L195" s="11"/>
      <c r="M195" s="9"/>
      <c r="N195" s="9"/>
      <c r="O195" s="9"/>
      <c r="P195" s="9"/>
      <c r="Q195" s="9"/>
      <c r="R195" s="9"/>
      <c r="S195" s="9"/>
      <c r="T195" s="9"/>
      <c r="U195" s="9"/>
      <c r="V195" s="9"/>
      <c r="W195" s="9"/>
      <c r="X195" s="9"/>
      <c r="Y195" s="9"/>
      <c r="Z195" s="9"/>
    </row>
    <row r="196" ht="15.75" customHeight="1">
      <c r="A196" s="11"/>
      <c r="B196" s="11"/>
      <c r="C196" s="11"/>
      <c r="D196" s="11"/>
      <c r="E196" s="11"/>
      <c r="F196" s="9"/>
      <c r="G196" s="11"/>
      <c r="H196" s="11"/>
      <c r="I196" s="11"/>
      <c r="J196" s="11"/>
      <c r="K196" s="9"/>
      <c r="L196" s="11"/>
      <c r="M196" s="9"/>
      <c r="N196" s="9"/>
      <c r="O196" s="9"/>
      <c r="P196" s="9"/>
      <c r="Q196" s="9"/>
      <c r="R196" s="9"/>
      <c r="S196" s="9"/>
      <c r="T196" s="9"/>
      <c r="U196" s="9"/>
      <c r="V196" s="9"/>
      <c r="W196" s="9"/>
      <c r="X196" s="9"/>
      <c r="Y196" s="9"/>
      <c r="Z196" s="9"/>
    </row>
    <row r="197" ht="15.75" customHeight="1">
      <c r="A197" s="11"/>
      <c r="B197" s="11"/>
      <c r="C197" s="11"/>
      <c r="D197" s="11"/>
      <c r="E197" s="11"/>
      <c r="F197" s="9"/>
      <c r="G197" s="11"/>
      <c r="H197" s="11"/>
      <c r="I197" s="11"/>
      <c r="J197" s="11"/>
      <c r="K197" s="9"/>
      <c r="L197" s="11"/>
      <c r="M197" s="9"/>
      <c r="N197" s="9"/>
      <c r="O197" s="9"/>
      <c r="P197" s="9"/>
      <c r="Q197" s="9"/>
      <c r="R197" s="9"/>
      <c r="S197" s="9"/>
      <c r="T197" s="9"/>
      <c r="U197" s="9"/>
      <c r="V197" s="9"/>
      <c r="W197" s="9"/>
      <c r="X197" s="9"/>
      <c r="Y197" s="9"/>
      <c r="Z197" s="9"/>
    </row>
    <row r="198" ht="15.75" customHeight="1">
      <c r="A198" s="11"/>
      <c r="B198" s="11"/>
      <c r="C198" s="11"/>
      <c r="D198" s="11"/>
      <c r="E198" s="11"/>
      <c r="F198" s="9"/>
      <c r="G198" s="11"/>
      <c r="H198" s="11"/>
      <c r="I198" s="11"/>
      <c r="J198" s="11"/>
      <c r="K198" s="9"/>
      <c r="L198" s="11"/>
      <c r="M198" s="9"/>
      <c r="N198" s="9"/>
      <c r="O198" s="9"/>
      <c r="P198" s="9"/>
      <c r="Q198" s="9"/>
      <c r="R198" s="9"/>
      <c r="S198" s="9"/>
      <c r="T198" s="9"/>
      <c r="U198" s="9"/>
      <c r="V198" s="9"/>
      <c r="W198" s="9"/>
      <c r="X198" s="9"/>
      <c r="Y198" s="9"/>
      <c r="Z198" s="9"/>
    </row>
    <row r="199" ht="15.75" customHeight="1">
      <c r="A199" s="11"/>
      <c r="B199" s="11"/>
      <c r="C199" s="11"/>
      <c r="D199" s="11"/>
      <c r="E199" s="11"/>
      <c r="F199" s="9"/>
      <c r="G199" s="11"/>
      <c r="H199" s="11"/>
      <c r="I199" s="11"/>
      <c r="J199" s="11"/>
      <c r="K199" s="9"/>
      <c r="L199" s="11"/>
      <c r="M199" s="9"/>
      <c r="N199" s="9"/>
      <c r="O199" s="9"/>
      <c r="P199" s="9"/>
      <c r="Q199" s="9"/>
      <c r="R199" s="9"/>
      <c r="S199" s="9"/>
      <c r="T199" s="9"/>
      <c r="U199" s="9"/>
      <c r="V199" s="9"/>
      <c r="W199" s="9"/>
      <c r="X199" s="9"/>
      <c r="Y199" s="9"/>
      <c r="Z199" s="9"/>
    </row>
    <row r="200" ht="15.75" customHeight="1">
      <c r="A200" s="11"/>
      <c r="B200" s="11"/>
      <c r="C200" s="11"/>
      <c r="D200" s="11"/>
      <c r="E200" s="11"/>
      <c r="F200" s="9"/>
      <c r="G200" s="11"/>
      <c r="H200" s="11"/>
      <c r="I200" s="11"/>
      <c r="J200" s="11"/>
      <c r="K200" s="9"/>
      <c r="L200" s="11"/>
      <c r="M200" s="9"/>
      <c r="N200" s="9"/>
      <c r="O200" s="9"/>
      <c r="P200" s="9"/>
      <c r="Q200" s="9"/>
      <c r="R200" s="9"/>
      <c r="S200" s="9"/>
      <c r="T200" s="9"/>
      <c r="U200" s="9"/>
      <c r="V200" s="9"/>
      <c r="W200" s="9"/>
      <c r="X200" s="9"/>
      <c r="Y200" s="9"/>
      <c r="Z200" s="9"/>
    </row>
    <row r="201" ht="15.75" customHeight="1">
      <c r="A201" s="11"/>
      <c r="B201" s="11"/>
      <c r="C201" s="11"/>
      <c r="D201" s="11"/>
      <c r="E201" s="11"/>
      <c r="F201" s="9"/>
      <c r="G201" s="11"/>
      <c r="H201" s="11"/>
      <c r="I201" s="11"/>
      <c r="J201" s="11"/>
      <c r="K201" s="9"/>
      <c r="L201" s="11"/>
      <c r="M201" s="9"/>
      <c r="N201" s="9"/>
      <c r="O201" s="9"/>
      <c r="P201" s="9"/>
      <c r="Q201" s="9"/>
      <c r="R201" s="9"/>
      <c r="S201" s="9"/>
      <c r="T201" s="9"/>
      <c r="U201" s="9"/>
      <c r="V201" s="9"/>
      <c r="W201" s="9"/>
      <c r="X201" s="9"/>
      <c r="Y201" s="9"/>
      <c r="Z201" s="9"/>
    </row>
    <row r="202" ht="15.75" customHeight="1">
      <c r="A202" s="11"/>
      <c r="B202" s="11"/>
      <c r="C202" s="11"/>
      <c r="D202" s="11"/>
      <c r="E202" s="11"/>
      <c r="F202" s="9"/>
      <c r="G202" s="11"/>
      <c r="H202" s="11"/>
      <c r="I202" s="11"/>
      <c r="J202" s="11"/>
      <c r="K202" s="9"/>
      <c r="L202" s="11"/>
      <c r="M202" s="9"/>
      <c r="N202" s="9"/>
      <c r="O202" s="9"/>
      <c r="P202" s="9"/>
      <c r="Q202" s="9"/>
      <c r="R202" s="9"/>
      <c r="S202" s="9"/>
      <c r="T202" s="9"/>
      <c r="U202" s="9"/>
      <c r="V202" s="9"/>
      <c r="W202" s="9"/>
      <c r="X202" s="9"/>
      <c r="Y202" s="9"/>
      <c r="Z202" s="9"/>
    </row>
    <row r="203" ht="15.75" customHeight="1">
      <c r="A203" s="11"/>
      <c r="B203" s="11"/>
      <c r="C203" s="11"/>
      <c r="D203" s="11"/>
      <c r="E203" s="11"/>
      <c r="F203" s="9"/>
      <c r="G203" s="11"/>
      <c r="H203" s="11"/>
      <c r="I203" s="11"/>
      <c r="J203" s="11"/>
      <c r="K203" s="9"/>
      <c r="L203" s="11"/>
      <c r="M203" s="9"/>
      <c r="N203" s="9"/>
      <c r="O203" s="9"/>
      <c r="P203" s="9"/>
      <c r="Q203" s="9"/>
      <c r="R203" s="9"/>
      <c r="S203" s="9"/>
      <c r="T203" s="9"/>
      <c r="U203" s="9"/>
      <c r="V203" s="9"/>
      <c r="W203" s="9"/>
      <c r="X203" s="9"/>
      <c r="Y203" s="9"/>
      <c r="Z203" s="9"/>
    </row>
    <row r="204" ht="15.75" customHeight="1">
      <c r="A204" s="11"/>
      <c r="B204" s="11"/>
      <c r="C204" s="11"/>
      <c r="D204" s="11"/>
      <c r="E204" s="11"/>
      <c r="F204" s="9"/>
      <c r="G204" s="11"/>
      <c r="H204" s="11"/>
      <c r="I204" s="11"/>
      <c r="J204" s="11"/>
      <c r="K204" s="9"/>
      <c r="L204" s="11"/>
      <c r="M204" s="9"/>
      <c r="N204" s="9"/>
      <c r="O204" s="9"/>
      <c r="P204" s="9"/>
      <c r="Q204" s="9"/>
      <c r="R204" s="9"/>
      <c r="S204" s="9"/>
      <c r="T204" s="9"/>
      <c r="U204" s="9"/>
      <c r="V204" s="9"/>
      <c r="W204" s="9"/>
      <c r="X204" s="9"/>
      <c r="Y204" s="9"/>
      <c r="Z204" s="9"/>
    </row>
    <row r="205" ht="15.75" customHeight="1">
      <c r="A205" s="11"/>
      <c r="B205" s="11"/>
      <c r="C205" s="11"/>
      <c r="D205" s="11"/>
      <c r="E205" s="11"/>
      <c r="F205" s="9"/>
      <c r="G205" s="11"/>
      <c r="H205" s="11"/>
      <c r="I205" s="11"/>
      <c r="J205" s="11"/>
      <c r="K205" s="9"/>
      <c r="L205" s="11"/>
      <c r="M205" s="9"/>
      <c r="N205" s="9"/>
      <c r="O205" s="9"/>
      <c r="P205" s="9"/>
      <c r="Q205" s="9"/>
      <c r="R205" s="9"/>
      <c r="S205" s="9"/>
      <c r="T205" s="9"/>
      <c r="U205" s="9"/>
      <c r="V205" s="9"/>
      <c r="W205" s="9"/>
      <c r="X205" s="9"/>
      <c r="Y205" s="9"/>
      <c r="Z205" s="9"/>
    </row>
    <row r="206" ht="15.75" customHeight="1">
      <c r="A206" s="11"/>
      <c r="B206" s="11"/>
      <c r="C206" s="11"/>
      <c r="D206" s="11"/>
      <c r="E206" s="11"/>
      <c r="F206" s="9"/>
      <c r="G206" s="11"/>
      <c r="H206" s="11"/>
      <c r="I206" s="11"/>
      <c r="J206" s="11"/>
      <c r="K206" s="9"/>
      <c r="L206" s="11"/>
      <c r="M206" s="9"/>
      <c r="N206" s="9"/>
      <c r="O206" s="9"/>
      <c r="P206" s="9"/>
      <c r="Q206" s="9"/>
      <c r="R206" s="9"/>
      <c r="S206" s="9"/>
      <c r="T206" s="9"/>
      <c r="U206" s="9"/>
      <c r="V206" s="9"/>
      <c r="W206" s="9"/>
      <c r="X206" s="9"/>
      <c r="Y206" s="9"/>
      <c r="Z206" s="9"/>
    </row>
    <row r="207" ht="15.75" customHeight="1">
      <c r="A207" s="11"/>
      <c r="B207" s="11"/>
      <c r="C207" s="11"/>
      <c r="D207" s="11"/>
      <c r="E207" s="11"/>
      <c r="F207" s="9"/>
      <c r="G207" s="11"/>
      <c r="H207" s="11"/>
      <c r="I207" s="11"/>
      <c r="J207" s="11"/>
      <c r="K207" s="9"/>
      <c r="L207" s="11"/>
      <c r="M207" s="9"/>
      <c r="N207" s="9"/>
      <c r="O207" s="9"/>
      <c r="P207" s="9"/>
      <c r="Q207" s="9"/>
      <c r="R207" s="9"/>
      <c r="S207" s="9"/>
      <c r="T207" s="9"/>
      <c r="U207" s="9"/>
      <c r="V207" s="9"/>
      <c r="W207" s="9"/>
      <c r="X207" s="9"/>
      <c r="Y207" s="9"/>
      <c r="Z207" s="9"/>
    </row>
    <row r="208" ht="15.75" customHeight="1">
      <c r="A208" s="11"/>
      <c r="B208" s="11"/>
      <c r="C208" s="11"/>
      <c r="D208" s="11"/>
      <c r="E208" s="11"/>
      <c r="F208" s="9"/>
      <c r="G208" s="11"/>
      <c r="H208" s="11"/>
      <c r="I208" s="11"/>
      <c r="J208" s="11"/>
      <c r="K208" s="9"/>
      <c r="L208" s="11"/>
      <c r="M208" s="9"/>
      <c r="N208" s="9"/>
      <c r="O208" s="9"/>
      <c r="P208" s="9"/>
      <c r="Q208" s="9"/>
      <c r="R208" s="9"/>
      <c r="S208" s="9"/>
      <c r="T208" s="9"/>
      <c r="U208" s="9"/>
      <c r="V208" s="9"/>
      <c r="W208" s="9"/>
      <c r="X208" s="9"/>
      <c r="Y208" s="9"/>
      <c r="Z208" s="9"/>
    </row>
    <row r="209" ht="15.75" customHeight="1">
      <c r="A209" s="11"/>
      <c r="B209" s="11"/>
      <c r="C209" s="11"/>
      <c r="D209" s="11"/>
      <c r="E209" s="11"/>
      <c r="F209" s="9"/>
      <c r="G209" s="11"/>
      <c r="H209" s="11"/>
      <c r="I209" s="11"/>
      <c r="J209" s="11"/>
      <c r="K209" s="9"/>
      <c r="L209" s="11"/>
      <c r="M209" s="9"/>
      <c r="N209" s="9"/>
      <c r="O209" s="9"/>
      <c r="P209" s="9"/>
      <c r="Q209" s="9"/>
      <c r="R209" s="9"/>
      <c r="S209" s="9"/>
      <c r="T209" s="9"/>
      <c r="U209" s="9"/>
      <c r="V209" s="9"/>
      <c r="W209" s="9"/>
      <c r="X209" s="9"/>
      <c r="Y209" s="9"/>
      <c r="Z209" s="9"/>
    </row>
    <row r="210" ht="15.75" customHeight="1">
      <c r="A210" s="11"/>
      <c r="B210" s="11"/>
      <c r="C210" s="11"/>
      <c r="D210" s="11"/>
      <c r="E210" s="11"/>
      <c r="F210" s="9"/>
      <c r="G210" s="11"/>
      <c r="H210" s="11"/>
      <c r="I210" s="11"/>
      <c r="J210" s="11"/>
      <c r="K210" s="9"/>
      <c r="L210" s="11"/>
      <c r="M210" s="9"/>
      <c r="N210" s="9"/>
      <c r="O210" s="9"/>
      <c r="P210" s="9"/>
      <c r="Q210" s="9"/>
      <c r="R210" s="9"/>
      <c r="S210" s="9"/>
      <c r="T210" s="9"/>
      <c r="U210" s="9"/>
      <c r="V210" s="9"/>
      <c r="W210" s="9"/>
      <c r="X210" s="9"/>
      <c r="Y210" s="9"/>
      <c r="Z210" s="9"/>
    </row>
    <row r="211" ht="15.75" customHeight="1">
      <c r="A211" s="11"/>
      <c r="B211" s="11"/>
      <c r="C211" s="11"/>
      <c r="D211" s="11"/>
      <c r="E211" s="11"/>
      <c r="F211" s="9"/>
      <c r="G211" s="11"/>
      <c r="H211" s="11"/>
      <c r="I211" s="11"/>
      <c r="J211" s="11"/>
      <c r="K211" s="9"/>
      <c r="L211" s="11"/>
      <c r="M211" s="9"/>
      <c r="N211" s="9"/>
      <c r="O211" s="9"/>
      <c r="P211" s="9"/>
      <c r="Q211" s="9"/>
      <c r="R211" s="9"/>
      <c r="S211" s="9"/>
      <c r="T211" s="9"/>
      <c r="U211" s="9"/>
      <c r="V211" s="9"/>
      <c r="W211" s="9"/>
      <c r="X211" s="9"/>
      <c r="Y211" s="9"/>
      <c r="Z211" s="9"/>
    </row>
    <row r="212" ht="15.75" customHeight="1">
      <c r="A212" s="11"/>
      <c r="B212" s="11"/>
      <c r="C212" s="11"/>
      <c r="D212" s="11"/>
      <c r="E212" s="11"/>
      <c r="F212" s="9"/>
      <c r="G212" s="11"/>
      <c r="H212" s="11"/>
      <c r="I212" s="11"/>
      <c r="J212" s="11"/>
      <c r="K212" s="9"/>
      <c r="L212" s="11"/>
      <c r="M212" s="9"/>
      <c r="N212" s="9"/>
      <c r="O212" s="9"/>
      <c r="P212" s="9"/>
      <c r="Q212" s="9"/>
      <c r="R212" s="9"/>
      <c r="S212" s="9"/>
      <c r="T212" s="9"/>
      <c r="U212" s="9"/>
      <c r="V212" s="9"/>
      <c r="W212" s="9"/>
      <c r="X212" s="9"/>
      <c r="Y212" s="9"/>
      <c r="Z212" s="9"/>
    </row>
    <row r="213" ht="15.75" customHeight="1">
      <c r="A213" s="11"/>
      <c r="B213" s="11"/>
      <c r="C213" s="11"/>
      <c r="D213" s="11"/>
      <c r="E213" s="11"/>
      <c r="F213" s="9"/>
      <c r="G213" s="11"/>
      <c r="H213" s="11"/>
      <c r="I213" s="11"/>
      <c r="J213" s="11"/>
      <c r="K213" s="9"/>
      <c r="L213" s="11"/>
      <c r="M213" s="9"/>
      <c r="N213" s="9"/>
      <c r="O213" s="9"/>
      <c r="P213" s="9"/>
      <c r="Q213" s="9"/>
      <c r="R213" s="9"/>
      <c r="S213" s="9"/>
      <c r="T213" s="9"/>
      <c r="U213" s="9"/>
      <c r="V213" s="9"/>
      <c r="W213" s="9"/>
      <c r="X213" s="9"/>
      <c r="Y213" s="9"/>
      <c r="Z213" s="9"/>
    </row>
    <row r="214" ht="15.75" customHeight="1">
      <c r="A214" s="11"/>
      <c r="B214" s="11"/>
      <c r="C214" s="11"/>
      <c r="D214" s="11"/>
      <c r="E214" s="11"/>
      <c r="F214" s="9"/>
      <c r="G214" s="11"/>
      <c r="H214" s="11"/>
      <c r="I214" s="11"/>
      <c r="J214" s="11"/>
      <c r="K214" s="9"/>
      <c r="L214" s="11"/>
      <c r="M214" s="9"/>
      <c r="N214" s="9"/>
      <c r="O214" s="9"/>
      <c r="P214" s="9"/>
      <c r="Q214" s="9"/>
      <c r="R214" s="9"/>
      <c r="S214" s="9"/>
      <c r="T214" s="9"/>
      <c r="U214" s="9"/>
      <c r="V214" s="9"/>
      <c r="W214" s="9"/>
      <c r="X214" s="9"/>
      <c r="Y214" s="9"/>
      <c r="Z214" s="9"/>
    </row>
    <row r="215" ht="15.75" customHeight="1">
      <c r="A215" s="11"/>
      <c r="B215" s="11"/>
      <c r="C215" s="11"/>
      <c r="D215" s="11"/>
      <c r="E215" s="11"/>
      <c r="F215" s="9"/>
      <c r="G215" s="11"/>
      <c r="H215" s="11"/>
      <c r="I215" s="11"/>
      <c r="J215" s="11"/>
      <c r="K215" s="9"/>
      <c r="L215" s="11"/>
      <c r="M215" s="9"/>
      <c r="N215" s="9"/>
      <c r="O215" s="9"/>
      <c r="P215" s="9"/>
      <c r="Q215" s="9"/>
      <c r="R215" s="9"/>
      <c r="S215" s="9"/>
      <c r="T215" s="9"/>
      <c r="U215" s="9"/>
      <c r="V215" s="9"/>
      <c r="W215" s="9"/>
      <c r="X215" s="9"/>
      <c r="Y215" s="9"/>
      <c r="Z215" s="9"/>
    </row>
    <row r="216" ht="15.75" customHeight="1">
      <c r="A216" s="11"/>
      <c r="B216" s="11"/>
      <c r="C216" s="11"/>
      <c r="D216" s="11"/>
      <c r="E216" s="11"/>
      <c r="F216" s="9"/>
      <c r="G216" s="11"/>
      <c r="H216" s="11"/>
      <c r="I216" s="11"/>
      <c r="J216" s="11"/>
      <c r="K216" s="9"/>
      <c r="L216" s="11"/>
      <c r="M216" s="9"/>
      <c r="N216" s="9"/>
      <c r="O216" s="9"/>
      <c r="P216" s="9"/>
      <c r="Q216" s="9"/>
      <c r="R216" s="9"/>
      <c r="S216" s="9"/>
      <c r="T216" s="9"/>
      <c r="U216" s="9"/>
      <c r="V216" s="9"/>
      <c r="W216" s="9"/>
      <c r="X216" s="9"/>
      <c r="Y216" s="9"/>
      <c r="Z216" s="9"/>
    </row>
    <row r="217" ht="15.75" customHeight="1">
      <c r="A217" s="11"/>
      <c r="B217" s="11"/>
      <c r="C217" s="11"/>
      <c r="D217" s="11"/>
      <c r="E217" s="11"/>
      <c r="F217" s="9"/>
      <c r="G217" s="11"/>
      <c r="H217" s="11"/>
      <c r="I217" s="11"/>
      <c r="J217" s="11"/>
      <c r="K217" s="9"/>
      <c r="L217" s="11"/>
      <c r="M217" s="9"/>
      <c r="N217" s="9"/>
      <c r="O217" s="9"/>
      <c r="P217" s="9"/>
      <c r="Q217" s="9"/>
      <c r="R217" s="9"/>
      <c r="S217" s="9"/>
      <c r="T217" s="9"/>
      <c r="U217" s="9"/>
      <c r="V217" s="9"/>
      <c r="W217" s="9"/>
      <c r="X217" s="9"/>
      <c r="Y217" s="9"/>
      <c r="Z217" s="9"/>
    </row>
    <row r="218" ht="15.75" customHeight="1">
      <c r="A218" s="11"/>
      <c r="B218" s="11"/>
      <c r="C218" s="11"/>
      <c r="D218" s="11"/>
      <c r="E218" s="11"/>
      <c r="F218" s="9"/>
      <c r="G218" s="11"/>
      <c r="H218" s="11"/>
      <c r="I218" s="11"/>
      <c r="J218" s="11"/>
      <c r="K218" s="9"/>
      <c r="L218" s="11"/>
      <c r="M218" s="9"/>
      <c r="N218" s="9"/>
      <c r="O218" s="9"/>
      <c r="P218" s="9"/>
      <c r="Q218" s="9"/>
      <c r="R218" s="9"/>
      <c r="S218" s="9"/>
      <c r="T218" s="9"/>
      <c r="U218" s="9"/>
      <c r="V218" s="9"/>
      <c r="W218" s="9"/>
      <c r="X218" s="9"/>
      <c r="Y218" s="9"/>
      <c r="Z218" s="9"/>
    </row>
    <row r="219" ht="15.75" customHeight="1">
      <c r="A219" s="11"/>
      <c r="B219" s="11"/>
      <c r="C219" s="11"/>
      <c r="D219" s="11"/>
      <c r="E219" s="11"/>
      <c r="F219" s="9"/>
      <c r="G219" s="11"/>
      <c r="H219" s="11"/>
      <c r="I219" s="11"/>
      <c r="J219" s="11"/>
      <c r="K219" s="9"/>
      <c r="L219" s="11"/>
      <c r="M219" s="9"/>
      <c r="N219" s="9"/>
      <c r="O219" s="9"/>
      <c r="P219" s="9"/>
      <c r="Q219" s="9"/>
      <c r="R219" s="9"/>
      <c r="S219" s="9"/>
      <c r="T219" s="9"/>
      <c r="U219" s="9"/>
      <c r="V219" s="9"/>
      <c r="W219" s="9"/>
      <c r="X219" s="9"/>
      <c r="Y219" s="9"/>
      <c r="Z219" s="9"/>
    </row>
    <row r="220" ht="15.75" customHeight="1">
      <c r="A220" s="11"/>
      <c r="B220" s="11"/>
      <c r="C220" s="11"/>
      <c r="D220" s="11"/>
      <c r="E220" s="11"/>
      <c r="F220" s="9"/>
      <c r="G220" s="11"/>
      <c r="H220" s="11"/>
      <c r="I220" s="11"/>
      <c r="J220" s="11"/>
      <c r="K220" s="9"/>
      <c r="L220" s="11"/>
      <c r="M220" s="9"/>
      <c r="N220" s="9"/>
      <c r="O220" s="9"/>
      <c r="P220" s="9"/>
      <c r="Q220" s="9"/>
      <c r="R220" s="9"/>
      <c r="S220" s="9"/>
      <c r="T220" s="9"/>
      <c r="U220" s="9"/>
      <c r="V220" s="9"/>
      <c r="W220" s="9"/>
      <c r="X220" s="9"/>
      <c r="Y220" s="9"/>
      <c r="Z220" s="9"/>
    </row>
    <row r="221" ht="15.75" customHeight="1">
      <c r="A221" s="11"/>
      <c r="B221" s="11"/>
      <c r="C221" s="11"/>
      <c r="D221" s="11"/>
      <c r="E221" s="11"/>
      <c r="F221" s="9"/>
      <c r="G221" s="11"/>
      <c r="H221" s="11"/>
      <c r="I221" s="11"/>
      <c r="J221" s="11"/>
      <c r="K221" s="9"/>
      <c r="L221" s="11"/>
      <c r="M221" s="9"/>
      <c r="N221" s="9"/>
      <c r="O221" s="9"/>
      <c r="P221" s="9"/>
      <c r="Q221" s="9"/>
      <c r="R221" s="9"/>
      <c r="S221" s="9"/>
      <c r="T221" s="9"/>
      <c r="U221" s="9"/>
      <c r="V221" s="9"/>
      <c r="W221" s="9"/>
      <c r="X221" s="9"/>
      <c r="Y221" s="9"/>
      <c r="Z221" s="9"/>
    </row>
    <row r="222" ht="15.75" customHeight="1">
      <c r="A222" s="11"/>
      <c r="B222" s="11"/>
      <c r="C222" s="11"/>
      <c r="D222" s="11"/>
      <c r="E222" s="11"/>
      <c r="F222" s="9"/>
      <c r="G222" s="11"/>
      <c r="H222" s="11"/>
      <c r="I222" s="11"/>
      <c r="J222" s="11"/>
      <c r="K222" s="9"/>
      <c r="L222" s="11"/>
      <c r="M222" s="9"/>
      <c r="N222" s="9"/>
      <c r="O222" s="9"/>
      <c r="P222" s="9"/>
      <c r="Q222" s="9"/>
      <c r="R222" s="9"/>
      <c r="S222" s="9"/>
      <c r="T222" s="9"/>
      <c r="U222" s="9"/>
      <c r="V222" s="9"/>
      <c r="W222" s="9"/>
      <c r="X222" s="9"/>
      <c r="Y222" s="9"/>
      <c r="Z222" s="9"/>
    </row>
    <row r="223" ht="15.75" customHeight="1">
      <c r="A223" s="11"/>
      <c r="B223" s="11"/>
      <c r="C223" s="11"/>
      <c r="D223" s="11"/>
      <c r="E223" s="11"/>
      <c r="F223" s="9"/>
      <c r="G223" s="11"/>
      <c r="H223" s="11"/>
      <c r="I223" s="11"/>
      <c r="J223" s="11"/>
      <c r="K223" s="9"/>
      <c r="L223" s="11"/>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60.38"/>
    <col customWidth="1" min="8" max="8" width="84.25"/>
  </cols>
  <sheetData>
    <row r="1" ht="15.75" customHeight="1">
      <c r="A1" s="43" t="s">
        <v>991</v>
      </c>
      <c r="B1" s="43" t="s">
        <v>992</v>
      </c>
      <c r="C1" s="43" t="s">
        <v>993</v>
      </c>
      <c r="D1" s="43" t="s">
        <v>994</v>
      </c>
      <c r="E1" s="43" t="s">
        <v>995</v>
      </c>
      <c r="F1" s="43" t="s">
        <v>996</v>
      </c>
      <c r="G1" s="43" t="s">
        <v>997</v>
      </c>
      <c r="H1" s="44" t="s">
        <v>998</v>
      </c>
    </row>
    <row r="2" ht="15.75" customHeight="1">
      <c r="A2" s="45" t="s">
        <v>999</v>
      </c>
      <c r="B2" s="46" t="s">
        <v>1003</v>
      </c>
      <c r="C2" s="46" t="s">
        <v>1008</v>
      </c>
      <c r="D2" s="46" t="s">
        <v>1010</v>
      </c>
      <c r="E2" s="46">
        <v>2.0</v>
      </c>
      <c r="F2" s="47">
        <v>45383.0</v>
      </c>
      <c r="G2" s="46" t="s">
        <v>1015</v>
      </c>
      <c r="H2" s="48" t="s">
        <v>1019</v>
      </c>
    </row>
    <row r="3" ht="15.75" customHeight="1">
      <c r="A3" s="45" t="s">
        <v>999</v>
      </c>
      <c r="B3" s="46" t="s">
        <v>1058</v>
      </c>
      <c r="C3" s="46" t="s">
        <v>1008</v>
      </c>
      <c r="D3" s="46" t="s">
        <v>1010</v>
      </c>
      <c r="E3" s="46" t="s">
        <v>1059</v>
      </c>
      <c r="F3" s="47">
        <v>45383.0</v>
      </c>
      <c r="G3" s="46" t="s">
        <v>1060</v>
      </c>
      <c r="H3" s="48" t="s">
        <v>1061</v>
      </c>
    </row>
    <row r="4" ht="15.75" customHeight="1">
      <c r="A4" s="45" t="s">
        <v>1074</v>
      </c>
      <c r="B4" s="46" t="s">
        <v>1075</v>
      </c>
      <c r="C4" s="46" t="s">
        <v>1077</v>
      </c>
      <c r="D4" s="46" t="s">
        <v>1010</v>
      </c>
      <c r="E4" s="46" t="s">
        <v>1078</v>
      </c>
      <c r="F4" s="47">
        <v>45597.0</v>
      </c>
      <c r="G4" s="46" t="s">
        <v>1081</v>
      </c>
      <c r="H4" s="48" t="s">
        <v>1083</v>
      </c>
    </row>
    <row r="5" ht="15.75" customHeight="1">
      <c r="A5" s="45" t="s">
        <v>1074</v>
      </c>
      <c r="B5" s="46" t="s">
        <v>1075</v>
      </c>
      <c r="C5" s="46" t="s">
        <v>1077</v>
      </c>
      <c r="D5" s="46" t="s">
        <v>1010</v>
      </c>
      <c r="E5" s="46" t="s">
        <v>1111</v>
      </c>
      <c r="F5" s="47">
        <v>42705.0</v>
      </c>
      <c r="G5" s="46" t="s">
        <v>1112</v>
      </c>
      <c r="H5" s="48" t="s">
        <v>1113</v>
      </c>
    </row>
    <row r="6" ht="15.75" customHeight="1">
      <c r="A6" s="45" t="s">
        <v>1074</v>
      </c>
      <c r="B6" s="46" t="s">
        <v>1121</v>
      </c>
      <c r="C6" s="46" t="s">
        <v>1122</v>
      </c>
      <c r="D6" s="46" t="s">
        <v>1010</v>
      </c>
      <c r="E6" s="50">
        <v>45658.0</v>
      </c>
      <c r="F6" s="47">
        <v>45810.0</v>
      </c>
      <c r="G6" s="46" t="s">
        <v>1125</v>
      </c>
      <c r="H6" s="48" t="s">
        <v>1126</v>
      </c>
    </row>
    <row r="7" ht="15.75" customHeight="1">
      <c r="A7" s="45" t="s">
        <v>1074</v>
      </c>
      <c r="B7" s="46" t="s">
        <v>1075</v>
      </c>
      <c r="C7" s="46" t="s">
        <v>1077</v>
      </c>
      <c r="D7" s="46" t="s">
        <v>1010</v>
      </c>
      <c r="E7" s="46" t="s">
        <v>1137</v>
      </c>
      <c r="F7" s="47">
        <v>44532.0</v>
      </c>
      <c r="G7" s="46" t="s">
        <v>1139</v>
      </c>
      <c r="H7" s="48" t="s">
        <v>1141</v>
      </c>
    </row>
    <row r="8" ht="15.75" customHeight="1">
      <c r="A8" s="45" t="s">
        <v>999</v>
      </c>
      <c r="B8" s="46" t="s">
        <v>1003</v>
      </c>
      <c r="C8" s="46" t="s">
        <v>1008</v>
      </c>
      <c r="D8" s="46" t="s">
        <v>1010</v>
      </c>
      <c r="E8" s="46">
        <v>1.0</v>
      </c>
      <c r="F8" s="47">
        <v>43985.0</v>
      </c>
      <c r="G8" s="46" t="s">
        <v>1167</v>
      </c>
      <c r="H8" s="48" t="s">
        <v>1168</v>
      </c>
    </row>
    <row r="9" ht="15.75" customHeight="1">
      <c r="A9" s="45" t="s">
        <v>999</v>
      </c>
      <c r="B9" s="46" t="s">
        <v>1173</v>
      </c>
      <c r="C9" s="46" t="s">
        <v>1174</v>
      </c>
      <c r="D9" s="46" t="s">
        <v>1010</v>
      </c>
      <c r="E9" s="51">
        <v>45292.0</v>
      </c>
      <c r="F9" s="47">
        <v>45446.0</v>
      </c>
      <c r="G9" s="46" t="s">
        <v>1181</v>
      </c>
      <c r="H9" s="48" t="s">
        <v>1182</v>
      </c>
    </row>
    <row r="10" ht="15.75" customHeight="1">
      <c r="A10" s="45" t="s">
        <v>1074</v>
      </c>
      <c r="B10" s="46" t="s">
        <v>1191</v>
      </c>
      <c r="C10" s="46" t="s">
        <v>1192</v>
      </c>
      <c r="D10" s="46" t="s">
        <v>1010</v>
      </c>
      <c r="E10" s="50">
        <v>44986.0</v>
      </c>
      <c r="F10" s="47">
        <v>45110.0</v>
      </c>
      <c r="G10" s="46" t="s">
        <v>1195</v>
      </c>
      <c r="H10" s="48" t="s">
        <v>1196</v>
      </c>
    </row>
    <row r="11" ht="15.75" customHeight="1">
      <c r="A11" s="45" t="s">
        <v>1224</v>
      </c>
      <c r="B11" s="46" t="s">
        <v>1225</v>
      </c>
      <c r="C11" s="46" t="s">
        <v>1226</v>
      </c>
      <c r="D11" s="46" t="s">
        <v>1010</v>
      </c>
      <c r="E11" s="46" t="s">
        <v>1228</v>
      </c>
      <c r="F11" s="47">
        <v>45476.0</v>
      </c>
      <c r="G11" s="46" t="s">
        <v>1232</v>
      </c>
      <c r="H11" s="48" t="s">
        <v>1235</v>
      </c>
    </row>
    <row r="12" ht="15.75" customHeight="1">
      <c r="A12" s="45" t="s">
        <v>1074</v>
      </c>
      <c r="B12" s="46" t="s">
        <v>1248</v>
      </c>
      <c r="C12" s="46" t="s">
        <v>1249</v>
      </c>
      <c r="D12" s="46" t="s">
        <v>1010</v>
      </c>
      <c r="E12" s="50">
        <v>45962.0</v>
      </c>
      <c r="F12" s="47">
        <v>45692.0</v>
      </c>
      <c r="G12" s="46" t="s">
        <v>1251</v>
      </c>
      <c r="H12" s="48" t="s">
        <v>1253</v>
      </c>
    </row>
    <row r="13" ht="15.75" customHeight="1">
      <c r="A13" s="45" t="s">
        <v>1224</v>
      </c>
      <c r="B13" s="46" t="s">
        <v>1290</v>
      </c>
      <c r="C13" s="46" t="s">
        <v>1291</v>
      </c>
      <c r="D13" s="46" t="s">
        <v>1010</v>
      </c>
      <c r="E13" s="50">
        <v>45474.0</v>
      </c>
      <c r="F13" s="47">
        <v>45477.0</v>
      </c>
      <c r="G13" s="46" t="s">
        <v>1294</v>
      </c>
      <c r="H13" s="48" t="s">
        <v>1295</v>
      </c>
    </row>
    <row r="14" ht="15.75" customHeight="1">
      <c r="A14" s="45" t="s">
        <v>1074</v>
      </c>
      <c r="B14" s="46" t="s">
        <v>1075</v>
      </c>
      <c r="C14" s="46" t="s">
        <v>1077</v>
      </c>
      <c r="D14" s="46" t="s">
        <v>1010</v>
      </c>
      <c r="E14" s="46" t="s">
        <v>1334</v>
      </c>
      <c r="F14" s="47">
        <v>45630.0</v>
      </c>
      <c r="G14" s="46" t="s">
        <v>1337</v>
      </c>
      <c r="H14" s="48" t="s">
        <v>1341</v>
      </c>
    </row>
    <row r="15" ht="15.75" customHeight="1">
      <c r="A15" s="45" t="s">
        <v>1224</v>
      </c>
      <c r="B15" s="46" t="s">
        <v>1367</v>
      </c>
      <c r="C15" s="46" t="s">
        <v>1368</v>
      </c>
      <c r="D15" s="46" t="s">
        <v>1010</v>
      </c>
      <c r="E15" s="50">
        <v>45748.0</v>
      </c>
      <c r="F15" s="47">
        <v>46360.0</v>
      </c>
      <c r="G15" s="46" t="s">
        <v>1373</v>
      </c>
      <c r="H15" s="48" t="s">
        <v>1376</v>
      </c>
    </row>
    <row r="16" ht="15.75" customHeight="1">
      <c r="A16" s="45" t="s">
        <v>1074</v>
      </c>
      <c r="B16" s="46" t="s">
        <v>1407</v>
      </c>
      <c r="C16" s="46" t="s">
        <v>1408</v>
      </c>
      <c r="D16" s="46" t="s">
        <v>1010</v>
      </c>
      <c r="E16" s="52">
        <v>45352.0</v>
      </c>
      <c r="F16" s="47">
        <v>45478.0</v>
      </c>
      <c r="G16" s="46" t="s">
        <v>1421</v>
      </c>
      <c r="H16" s="48" t="s">
        <v>1423</v>
      </c>
    </row>
    <row r="17" ht="15.75" customHeight="1">
      <c r="A17" s="45" t="s">
        <v>1074</v>
      </c>
      <c r="B17" s="46" t="s">
        <v>1450</v>
      </c>
      <c r="C17" s="46" t="s">
        <v>1451</v>
      </c>
      <c r="D17" s="46" t="s">
        <v>1010</v>
      </c>
      <c r="E17" s="50">
        <v>45200.0</v>
      </c>
      <c r="F17" s="47">
        <v>44991.0</v>
      </c>
      <c r="G17" s="46" t="s">
        <v>1452</v>
      </c>
      <c r="H17" s="48" t="s">
        <v>1453</v>
      </c>
    </row>
    <row r="18" ht="15.75" customHeight="1">
      <c r="A18" s="45" t="s">
        <v>999</v>
      </c>
      <c r="B18" s="46" t="s">
        <v>1003</v>
      </c>
      <c r="C18" s="46" t="s">
        <v>1008</v>
      </c>
      <c r="D18" s="46" t="s">
        <v>1010</v>
      </c>
      <c r="E18" s="52">
        <v>43891.0</v>
      </c>
      <c r="F18" s="47">
        <v>43927.0</v>
      </c>
      <c r="G18" s="46" t="s">
        <v>1522</v>
      </c>
      <c r="H18" s="48" t="s">
        <v>1523</v>
      </c>
    </row>
    <row r="19" ht="15.75" customHeight="1">
      <c r="A19" s="45" t="s">
        <v>999</v>
      </c>
      <c r="B19" s="46" t="s">
        <v>1542</v>
      </c>
      <c r="C19" s="46" t="s">
        <v>1008</v>
      </c>
      <c r="D19" s="46" t="s">
        <v>1010</v>
      </c>
      <c r="E19" s="46" t="s">
        <v>1543</v>
      </c>
      <c r="F19" s="47">
        <v>45783.0</v>
      </c>
      <c r="G19" s="46" t="s">
        <v>1544</v>
      </c>
      <c r="H19" s="48" t="s">
        <v>1545</v>
      </c>
    </row>
    <row r="20" ht="15.75" customHeight="1">
      <c r="A20" s="45" t="s">
        <v>999</v>
      </c>
      <c r="B20" s="46" t="s">
        <v>1003</v>
      </c>
      <c r="C20" s="46" t="s">
        <v>1008</v>
      </c>
      <c r="D20" s="46" t="s">
        <v>1010</v>
      </c>
      <c r="E20" s="46">
        <v>4.0</v>
      </c>
      <c r="F20" s="47">
        <v>45783.0</v>
      </c>
      <c r="G20" s="46" t="s">
        <v>1582</v>
      </c>
      <c r="H20" s="48" t="s">
        <v>1583</v>
      </c>
    </row>
    <row r="21" ht="15.75" customHeight="1">
      <c r="A21" s="45" t="s">
        <v>1224</v>
      </c>
      <c r="B21" s="46" t="s">
        <v>1075</v>
      </c>
      <c r="C21" s="46" t="s">
        <v>1611</v>
      </c>
      <c r="D21" s="46" t="s">
        <v>1010</v>
      </c>
      <c r="E21" s="50">
        <v>45047.0</v>
      </c>
      <c r="F21" s="47">
        <v>45236.0</v>
      </c>
      <c r="G21" s="46" t="s">
        <v>1612</v>
      </c>
      <c r="H21" s="48" t="s">
        <v>1615</v>
      </c>
    </row>
    <row r="22" ht="15.75" customHeight="1">
      <c r="A22" s="45" t="s">
        <v>999</v>
      </c>
      <c r="B22" s="46" t="s">
        <v>1003</v>
      </c>
      <c r="C22" s="46" t="s">
        <v>1008</v>
      </c>
      <c r="D22" s="46" t="s">
        <v>1010</v>
      </c>
      <c r="E22" s="52">
        <v>44197.0</v>
      </c>
      <c r="F22" s="47">
        <v>44536.0</v>
      </c>
      <c r="G22" s="46" t="s">
        <v>1641</v>
      </c>
      <c r="H22" s="48" t="s">
        <v>1643</v>
      </c>
    </row>
    <row r="23" ht="15.75" customHeight="1">
      <c r="A23" s="45" t="s">
        <v>999</v>
      </c>
      <c r="B23" s="46" t="s">
        <v>1225</v>
      </c>
      <c r="C23" s="46" t="s">
        <v>1668</v>
      </c>
      <c r="D23" s="46" t="s">
        <v>1010</v>
      </c>
      <c r="E23" s="46" t="s">
        <v>1669</v>
      </c>
      <c r="F23" s="47">
        <v>44901.0</v>
      </c>
      <c r="G23" s="46" t="s">
        <v>1670</v>
      </c>
      <c r="H23" s="48" t="s">
        <v>1671</v>
      </c>
    </row>
    <row r="24" ht="15.75" customHeight="1">
      <c r="A24" s="45" t="s">
        <v>1074</v>
      </c>
      <c r="B24" s="46" t="s">
        <v>1121</v>
      </c>
      <c r="C24" s="46" t="s">
        <v>1122</v>
      </c>
      <c r="D24" s="46" t="s">
        <v>1010</v>
      </c>
      <c r="E24" s="50">
        <v>45474.0</v>
      </c>
      <c r="F24" s="47">
        <v>45329.0</v>
      </c>
      <c r="G24" s="46" t="s">
        <v>1697</v>
      </c>
      <c r="H24" s="48" t="s">
        <v>1699</v>
      </c>
    </row>
    <row r="25" ht="15.75" customHeight="1">
      <c r="A25" s="45" t="s">
        <v>1074</v>
      </c>
      <c r="B25" s="46" t="s">
        <v>1717</v>
      </c>
      <c r="C25" s="46" t="s">
        <v>1718</v>
      </c>
      <c r="D25" s="46" t="s">
        <v>1010</v>
      </c>
      <c r="E25" s="52">
        <v>45474.0</v>
      </c>
      <c r="F25" s="47">
        <v>45330.0</v>
      </c>
      <c r="G25" s="46" t="s">
        <v>1719</v>
      </c>
      <c r="H25" s="48" t="s">
        <v>1720</v>
      </c>
    </row>
    <row r="26" ht="15.75" customHeight="1">
      <c r="A26" s="45" t="s">
        <v>1074</v>
      </c>
      <c r="B26" s="46" t="s">
        <v>1407</v>
      </c>
      <c r="C26" s="46" t="s">
        <v>1408</v>
      </c>
      <c r="D26" s="46" t="s">
        <v>1010</v>
      </c>
      <c r="E26" s="52">
        <v>45170.0</v>
      </c>
      <c r="F26" s="47">
        <v>45054.0</v>
      </c>
      <c r="G26" s="46" t="s">
        <v>1748</v>
      </c>
      <c r="H26" s="48" t="s">
        <v>1750</v>
      </c>
    </row>
    <row r="27" ht="15.75" customHeight="1">
      <c r="A27" s="45" t="s">
        <v>1074</v>
      </c>
      <c r="B27" s="46" t="s">
        <v>1407</v>
      </c>
      <c r="C27" s="46" t="s">
        <v>1408</v>
      </c>
      <c r="D27" s="46" t="s">
        <v>1010</v>
      </c>
      <c r="E27" s="52">
        <v>45383.0</v>
      </c>
      <c r="F27" s="47">
        <v>45481.0</v>
      </c>
      <c r="G27" s="46" t="s">
        <v>1776</v>
      </c>
      <c r="H27" s="48" t="s">
        <v>1777</v>
      </c>
    </row>
    <row r="28" ht="15.75" customHeight="1">
      <c r="A28" s="45" t="s">
        <v>1074</v>
      </c>
      <c r="B28" s="46" t="s">
        <v>1191</v>
      </c>
      <c r="C28" s="46" t="s">
        <v>1192</v>
      </c>
      <c r="D28" s="46" t="s">
        <v>1010</v>
      </c>
      <c r="E28" s="52">
        <v>45413.0</v>
      </c>
      <c r="F28" s="47">
        <v>45573.0</v>
      </c>
      <c r="G28" s="46" t="s">
        <v>1802</v>
      </c>
      <c r="H28" s="48" t="s">
        <v>1804</v>
      </c>
    </row>
    <row r="29" ht="15.75" customHeight="1">
      <c r="A29" s="45" t="s">
        <v>1224</v>
      </c>
      <c r="B29" s="46" t="s">
        <v>1827</v>
      </c>
      <c r="C29" s="46" t="s">
        <v>1828</v>
      </c>
      <c r="D29" s="46" t="s">
        <v>1010</v>
      </c>
      <c r="E29" s="46">
        <v>12.0</v>
      </c>
      <c r="F29" s="47">
        <v>45604.0</v>
      </c>
      <c r="G29" s="46" t="s">
        <v>1830</v>
      </c>
      <c r="H29" s="48" t="s">
        <v>1832</v>
      </c>
    </row>
    <row r="30" ht="15.75" customHeight="1">
      <c r="A30" s="45" t="s">
        <v>1074</v>
      </c>
      <c r="B30" s="46" t="s">
        <v>1121</v>
      </c>
      <c r="C30" s="46" t="s">
        <v>1122</v>
      </c>
      <c r="D30" s="46" t="s">
        <v>1010</v>
      </c>
      <c r="E30" s="50">
        <v>45474.0</v>
      </c>
      <c r="F30" s="47">
        <v>45331.0</v>
      </c>
      <c r="G30" s="46" t="s">
        <v>1697</v>
      </c>
      <c r="H30" s="48" t="s">
        <v>1847</v>
      </c>
    </row>
    <row r="31" ht="15.75" customHeight="1">
      <c r="A31" s="45" t="s">
        <v>999</v>
      </c>
      <c r="B31" s="46" t="s">
        <v>1173</v>
      </c>
      <c r="C31" s="46" t="s">
        <v>1174</v>
      </c>
      <c r="D31" s="46" t="s">
        <v>1010</v>
      </c>
      <c r="E31" s="51">
        <v>45323.0</v>
      </c>
      <c r="F31" s="47">
        <v>45482.0</v>
      </c>
      <c r="G31" s="46" t="s">
        <v>1874</v>
      </c>
      <c r="H31" s="48" t="s">
        <v>1875</v>
      </c>
    </row>
    <row r="32" ht="15.75" customHeight="1">
      <c r="A32" s="45" t="s">
        <v>1074</v>
      </c>
      <c r="B32" s="46" t="s">
        <v>1893</v>
      </c>
      <c r="C32" s="46" t="s">
        <v>1894</v>
      </c>
      <c r="D32" s="46" t="s">
        <v>1010</v>
      </c>
      <c r="E32" s="46" t="s">
        <v>1895</v>
      </c>
      <c r="F32" s="47">
        <v>45147.0</v>
      </c>
      <c r="G32" s="46" t="s">
        <v>1896</v>
      </c>
      <c r="H32" s="48" t="s">
        <v>1897</v>
      </c>
    </row>
    <row r="33" ht="15.75" customHeight="1">
      <c r="A33" s="45" t="s">
        <v>1074</v>
      </c>
      <c r="B33" s="46" t="s">
        <v>1893</v>
      </c>
      <c r="C33" s="46" t="s">
        <v>1894</v>
      </c>
      <c r="D33" s="46" t="s">
        <v>1010</v>
      </c>
      <c r="E33" s="46" t="s">
        <v>1895</v>
      </c>
      <c r="F33" s="47">
        <v>45147.0</v>
      </c>
      <c r="G33" s="46" t="s">
        <v>1920</v>
      </c>
      <c r="H33" s="48" t="s">
        <v>1922</v>
      </c>
    </row>
    <row r="34" ht="15.75" customHeight="1">
      <c r="A34" s="45" t="s">
        <v>1074</v>
      </c>
      <c r="B34" s="46" t="s">
        <v>1450</v>
      </c>
      <c r="C34" s="46" t="s">
        <v>1451</v>
      </c>
      <c r="D34" s="46" t="s">
        <v>1010</v>
      </c>
      <c r="E34" s="46">
        <v>9.0</v>
      </c>
      <c r="F34" s="47">
        <v>44691.0</v>
      </c>
      <c r="G34" s="46" t="s">
        <v>1944</v>
      </c>
      <c r="H34" s="48" t="s">
        <v>1947</v>
      </c>
    </row>
    <row r="35" ht="15.75" customHeight="1">
      <c r="A35" s="45" t="s">
        <v>1074</v>
      </c>
      <c r="B35" s="46" t="s">
        <v>1450</v>
      </c>
      <c r="C35" s="46" t="s">
        <v>1451</v>
      </c>
      <c r="D35" s="46" t="s">
        <v>1010</v>
      </c>
      <c r="E35" s="46">
        <v>8.0</v>
      </c>
      <c r="F35" s="47">
        <v>44691.0</v>
      </c>
      <c r="G35" s="46" t="s">
        <v>1968</v>
      </c>
      <c r="H35" s="48" t="s">
        <v>1969</v>
      </c>
    </row>
    <row r="36" ht="15.75" customHeight="1">
      <c r="A36" s="45" t="s">
        <v>1074</v>
      </c>
      <c r="B36" s="46" t="s">
        <v>1191</v>
      </c>
      <c r="C36" s="46" t="s">
        <v>1192</v>
      </c>
      <c r="D36" s="46" t="s">
        <v>1010</v>
      </c>
      <c r="E36" s="46" t="s">
        <v>1991</v>
      </c>
      <c r="F36" s="47">
        <v>45422.0</v>
      </c>
      <c r="G36" s="46" t="s">
        <v>1994</v>
      </c>
      <c r="H36" s="48" t="s">
        <v>1996</v>
      </c>
    </row>
    <row r="37" ht="15.75" customHeight="1">
      <c r="A37" s="45" t="s">
        <v>1074</v>
      </c>
      <c r="B37" s="46" t="s">
        <v>1407</v>
      </c>
      <c r="C37" s="46" t="s">
        <v>1408</v>
      </c>
      <c r="D37" s="46" t="s">
        <v>1010</v>
      </c>
      <c r="E37" s="52">
        <v>45292.0</v>
      </c>
      <c r="F37" s="47">
        <v>45453.0</v>
      </c>
      <c r="G37" s="46" t="s">
        <v>2020</v>
      </c>
      <c r="H37" s="48" t="s">
        <v>2021</v>
      </c>
    </row>
    <row r="38" ht="15.75" customHeight="1">
      <c r="A38" s="45" t="s">
        <v>1224</v>
      </c>
      <c r="B38" s="46" t="s">
        <v>1407</v>
      </c>
      <c r="C38" s="46" t="s">
        <v>2059</v>
      </c>
      <c r="D38" s="46" t="s">
        <v>1010</v>
      </c>
      <c r="E38" s="52">
        <v>45323.0</v>
      </c>
      <c r="F38" s="47">
        <v>45453.0</v>
      </c>
      <c r="G38" s="46" t="s">
        <v>2063</v>
      </c>
      <c r="H38" s="48" t="s">
        <v>2064</v>
      </c>
    </row>
    <row r="39" ht="15.75" customHeight="1">
      <c r="A39" s="45" t="s">
        <v>1074</v>
      </c>
      <c r="B39" s="46" t="s">
        <v>2089</v>
      </c>
      <c r="C39" s="46" t="s">
        <v>2091</v>
      </c>
      <c r="D39" s="46" t="s">
        <v>1010</v>
      </c>
      <c r="E39" s="46" t="s">
        <v>2093</v>
      </c>
      <c r="F39" s="47">
        <v>45819.0</v>
      </c>
      <c r="G39" s="46" t="s">
        <v>2094</v>
      </c>
      <c r="H39" s="48" t="s">
        <v>2095</v>
      </c>
    </row>
    <row r="40" ht="15.75" customHeight="1">
      <c r="A40" s="45" t="s">
        <v>1074</v>
      </c>
      <c r="B40" s="46" t="s">
        <v>2117</v>
      </c>
      <c r="C40" s="46" t="s">
        <v>2119</v>
      </c>
      <c r="D40" s="46" t="s">
        <v>1010</v>
      </c>
      <c r="E40" s="52">
        <v>44562.0</v>
      </c>
      <c r="F40" s="47">
        <v>44784.0</v>
      </c>
      <c r="G40" s="46" t="s">
        <v>2120</v>
      </c>
      <c r="H40" s="48" t="s">
        <v>2121</v>
      </c>
    </row>
    <row r="41" ht="15.75" customHeight="1">
      <c r="A41" s="45" t="s">
        <v>999</v>
      </c>
      <c r="B41" s="46" t="s">
        <v>1191</v>
      </c>
      <c r="C41" s="46" t="s">
        <v>2148</v>
      </c>
      <c r="D41" s="46" t="s">
        <v>1010</v>
      </c>
      <c r="E41" s="52">
        <v>45352.0</v>
      </c>
      <c r="F41" s="53">
        <v>45637.0</v>
      </c>
      <c r="G41" s="46" t="s">
        <v>2155</v>
      </c>
      <c r="H41" s="48" t="s">
        <v>2157</v>
      </c>
    </row>
    <row r="42" ht="15.75" customHeight="1">
      <c r="A42" s="45" t="s">
        <v>999</v>
      </c>
      <c r="B42" s="46" t="s">
        <v>1542</v>
      </c>
      <c r="C42" s="46" t="s">
        <v>1008</v>
      </c>
      <c r="D42" s="46" t="s">
        <v>1010</v>
      </c>
      <c r="E42" s="52">
        <v>45717.0</v>
      </c>
      <c r="F42" s="47">
        <v>45789.0</v>
      </c>
      <c r="G42" s="46" t="s">
        <v>2194</v>
      </c>
      <c r="H42" s="48" t="s">
        <v>2195</v>
      </c>
    </row>
    <row r="43" ht="15.75" customHeight="1">
      <c r="A43" s="45" t="s">
        <v>1074</v>
      </c>
      <c r="B43" s="46" t="s">
        <v>2117</v>
      </c>
      <c r="C43" s="46" t="s">
        <v>2119</v>
      </c>
      <c r="D43" s="46" t="s">
        <v>1010</v>
      </c>
      <c r="E43" s="52">
        <v>44927.0</v>
      </c>
      <c r="F43" s="47">
        <v>45119.0</v>
      </c>
      <c r="G43" s="46" t="s">
        <v>2217</v>
      </c>
      <c r="H43" s="48" t="s">
        <v>2218</v>
      </c>
    </row>
    <row r="44" ht="15.75" customHeight="1">
      <c r="A44" s="45" t="s">
        <v>999</v>
      </c>
      <c r="B44" s="46" t="s">
        <v>1191</v>
      </c>
      <c r="C44" s="46" t="s">
        <v>2148</v>
      </c>
      <c r="D44" s="46" t="s">
        <v>1010</v>
      </c>
      <c r="E44" s="50">
        <v>44652.0</v>
      </c>
      <c r="F44" s="53">
        <v>44907.0</v>
      </c>
      <c r="G44" s="46" t="s">
        <v>2244</v>
      </c>
      <c r="H44" s="48" t="s">
        <v>2245</v>
      </c>
    </row>
    <row r="45" ht="15.75" customHeight="1">
      <c r="A45" s="45" t="s">
        <v>1224</v>
      </c>
      <c r="B45" s="46" t="s">
        <v>2246</v>
      </c>
      <c r="C45" s="46" t="s">
        <v>2247</v>
      </c>
      <c r="D45" s="46" t="s">
        <v>1010</v>
      </c>
      <c r="E45" s="52">
        <v>45017.0</v>
      </c>
      <c r="F45" s="53">
        <v>45272.0</v>
      </c>
      <c r="G45" s="46" t="s">
        <v>2248</v>
      </c>
      <c r="H45" s="48" t="s">
        <v>2249</v>
      </c>
    </row>
    <row r="46" ht="15.75" customHeight="1">
      <c r="A46" s="45" t="s">
        <v>999</v>
      </c>
      <c r="B46" s="46" t="s">
        <v>1191</v>
      </c>
      <c r="C46" s="46" t="s">
        <v>2148</v>
      </c>
      <c r="D46" s="46" t="s">
        <v>1010</v>
      </c>
      <c r="E46" s="46" t="s">
        <v>2250</v>
      </c>
      <c r="F46" s="53">
        <v>46003.0</v>
      </c>
      <c r="G46" s="46" t="s">
        <v>2251</v>
      </c>
      <c r="H46" s="48" t="s">
        <v>2252</v>
      </c>
    </row>
    <row r="47" ht="15.75" customHeight="1">
      <c r="A47" s="45" t="s">
        <v>1074</v>
      </c>
      <c r="B47" s="46" t="s">
        <v>1450</v>
      </c>
      <c r="C47" s="46" t="s">
        <v>1451</v>
      </c>
      <c r="D47" s="46" t="s">
        <v>1010</v>
      </c>
      <c r="E47" s="46">
        <v>11.0</v>
      </c>
      <c r="F47" s="47">
        <v>45029.0</v>
      </c>
      <c r="G47" s="46" t="s">
        <v>2253</v>
      </c>
      <c r="H47" s="48" t="s">
        <v>2254</v>
      </c>
    </row>
    <row r="48" ht="15.75" customHeight="1">
      <c r="A48" s="45" t="s">
        <v>1074</v>
      </c>
      <c r="B48" s="46" t="s">
        <v>1248</v>
      </c>
      <c r="C48" s="46" t="s">
        <v>1249</v>
      </c>
      <c r="D48" s="46" t="s">
        <v>1010</v>
      </c>
      <c r="E48" s="52">
        <v>45536.0</v>
      </c>
      <c r="F48" s="47">
        <v>45456.0</v>
      </c>
      <c r="G48" s="46" t="s">
        <v>2255</v>
      </c>
      <c r="H48" s="48" t="s">
        <v>2256</v>
      </c>
    </row>
    <row r="49" ht="15.75" customHeight="1">
      <c r="A49" s="45" t="s">
        <v>999</v>
      </c>
      <c r="B49" s="46" t="s">
        <v>1003</v>
      </c>
      <c r="C49" s="46" t="s">
        <v>1008</v>
      </c>
      <c r="D49" s="46" t="s">
        <v>1010</v>
      </c>
      <c r="E49" s="52">
        <v>43466.0</v>
      </c>
      <c r="F49" s="53">
        <v>43782.0</v>
      </c>
      <c r="G49" s="46" t="s">
        <v>2257</v>
      </c>
      <c r="H49" s="48" t="s">
        <v>2258</v>
      </c>
    </row>
    <row r="50" ht="15.75" customHeight="1">
      <c r="A50" s="45" t="s">
        <v>1074</v>
      </c>
      <c r="B50" s="46" t="s">
        <v>1173</v>
      </c>
      <c r="C50" s="46" t="s">
        <v>2267</v>
      </c>
      <c r="D50" s="46" t="s">
        <v>1010</v>
      </c>
      <c r="E50" s="46" t="s">
        <v>2268</v>
      </c>
      <c r="F50" s="53">
        <v>45243.0</v>
      </c>
      <c r="G50" s="46" t="s">
        <v>2269</v>
      </c>
      <c r="H50" s="48" t="s">
        <v>2270</v>
      </c>
    </row>
    <row r="51" ht="15.75" customHeight="1">
      <c r="A51" s="45" t="s">
        <v>999</v>
      </c>
      <c r="B51" s="46" t="s">
        <v>1003</v>
      </c>
      <c r="C51" s="46" t="s">
        <v>1008</v>
      </c>
      <c r="D51" s="46" t="s">
        <v>1010</v>
      </c>
      <c r="E51" s="52">
        <v>43497.0</v>
      </c>
      <c r="F51" s="53">
        <v>43812.0</v>
      </c>
      <c r="G51" s="46" t="s">
        <v>2280</v>
      </c>
      <c r="H51" s="48" t="s">
        <v>2281</v>
      </c>
    </row>
    <row r="52" ht="15.75" customHeight="1">
      <c r="A52" s="45" t="s">
        <v>999</v>
      </c>
      <c r="B52" s="46" t="s">
        <v>1225</v>
      </c>
      <c r="C52" s="46" t="s">
        <v>1668</v>
      </c>
      <c r="D52" s="46" t="s">
        <v>1010</v>
      </c>
      <c r="E52" s="50">
        <v>44682.0</v>
      </c>
      <c r="F52" s="53">
        <v>44908.0</v>
      </c>
      <c r="G52" s="46" t="s">
        <v>2282</v>
      </c>
      <c r="H52" s="48" t="s">
        <v>2283</v>
      </c>
    </row>
    <row r="53" ht="15.75" customHeight="1">
      <c r="A53" s="45" t="s">
        <v>1074</v>
      </c>
      <c r="B53" s="46" t="s">
        <v>1248</v>
      </c>
      <c r="C53" s="46" t="s">
        <v>1249</v>
      </c>
      <c r="D53" s="46" t="s">
        <v>1010</v>
      </c>
      <c r="E53" s="46" t="s">
        <v>2284</v>
      </c>
      <c r="F53" s="47">
        <v>45702.0</v>
      </c>
      <c r="G53" s="46" t="s">
        <v>2285</v>
      </c>
      <c r="H53" s="48" t="s">
        <v>2286</v>
      </c>
    </row>
    <row r="54" ht="15.75" customHeight="1">
      <c r="A54" s="45" t="s">
        <v>999</v>
      </c>
      <c r="B54" s="46" t="s">
        <v>1058</v>
      </c>
      <c r="C54" s="46" t="s">
        <v>2148</v>
      </c>
      <c r="D54" s="46" t="s">
        <v>1010</v>
      </c>
      <c r="E54" s="52">
        <v>45689.0</v>
      </c>
      <c r="F54" s="47">
        <v>45730.0</v>
      </c>
      <c r="G54" s="46" t="s">
        <v>2287</v>
      </c>
      <c r="H54" s="48" t="s">
        <v>2288</v>
      </c>
    </row>
    <row r="55" ht="15.75" customHeight="1">
      <c r="A55" s="45" t="s">
        <v>1074</v>
      </c>
      <c r="B55" s="46" t="s">
        <v>1407</v>
      </c>
      <c r="C55" s="46" t="s">
        <v>1408</v>
      </c>
      <c r="D55" s="46" t="s">
        <v>1010</v>
      </c>
      <c r="E55" s="50">
        <v>45231.0</v>
      </c>
      <c r="F55" s="47">
        <v>45121.0</v>
      </c>
      <c r="G55" s="46" t="s">
        <v>2289</v>
      </c>
      <c r="H55" s="48" t="s">
        <v>2290</v>
      </c>
    </row>
    <row r="56" ht="15.75" customHeight="1">
      <c r="A56" s="45" t="s">
        <v>1224</v>
      </c>
      <c r="B56" s="46" t="s">
        <v>1191</v>
      </c>
      <c r="C56" s="46" t="s">
        <v>2291</v>
      </c>
      <c r="D56" s="46" t="s">
        <v>1010</v>
      </c>
      <c r="E56" s="46">
        <v>19.0</v>
      </c>
      <c r="F56" s="53">
        <v>45274.0</v>
      </c>
      <c r="G56" s="46" t="s">
        <v>2292</v>
      </c>
      <c r="H56" s="48" t="s">
        <v>2293</v>
      </c>
    </row>
    <row r="57" ht="15.75" customHeight="1">
      <c r="A57" s="45" t="s">
        <v>1224</v>
      </c>
      <c r="B57" s="46" t="s">
        <v>1542</v>
      </c>
      <c r="C57" s="46" t="s">
        <v>2294</v>
      </c>
      <c r="D57" s="46" t="s">
        <v>1010</v>
      </c>
      <c r="E57" s="52">
        <v>45323.0</v>
      </c>
      <c r="F57" s="47">
        <v>45366.0</v>
      </c>
      <c r="G57" s="46" t="s">
        <v>2295</v>
      </c>
      <c r="H57" s="48" t="s">
        <v>2296</v>
      </c>
    </row>
    <row r="58" ht="15.75" customHeight="1">
      <c r="A58" s="45" t="s">
        <v>999</v>
      </c>
      <c r="B58" s="46" t="s">
        <v>1542</v>
      </c>
      <c r="C58" s="46" t="s">
        <v>1008</v>
      </c>
      <c r="D58" s="46" t="s">
        <v>1010</v>
      </c>
      <c r="E58" s="46" t="s">
        <v>2297</v>
      </c>
      <c r="F58" s="47">
        <v>45762.0</v>
      </c>
      <c r="G58" s="46" t="s">
        <v>2298</v>
      </c>
      <c r="H58" s="48" t="s">
        <v>2299</v>
      </c>
    </row>
    <row r="59" ht="15.75" customHeight="1">
      <c r="A59" s="45" t="s">
        <v>1074</v>
      </c>
      <c r="B59" s="46" t="s">
        <v>1173</v>
      </c>
      <c r="C59" s="46" t="s">
        <v>2267</v>
      </c>
      <c r="D59" s="46" t="s">
        <v>1010</v>
      </c>
      <c r="E59" s="52">
        <v>44562.0</v>
      </c>
      <c r="F59" s="47">
        <v>44727.0</v>
      </c>
      <c r="G59" s="46" t="s">
        <v>2300</v>
      </c>
      <c r="H59" s="48" t="s">
        <v>2301</v>
      </c>
    </row>
    <row r="60" ht="15.75" customHeight="1">
      <c r="A60" s="45" t="s">
        <v>1074</v>
      </c>
      <c r="B60" s="46" t="s">
        <v>2302</v>
      </c>
      <c r="C60" s="46" t="s">
        <v>2303</v>
      </c>
      <c r="D60" s="46" t="s">
        <v>1010</v>
      </c>
      <c r="E60" s="46">
        <v>1.0</v>
      </c>
      <c r="F60" s="47">
        <v>44727.0</v>
      </c>
      <c r="G60" s="46" t="s">
        <v>2304</v>
      </c>
      <c r="H60" s="48" t="s">
        <v>2305</v>
      </c>
    </row>
    <row r="61" ht="15.75" customHeight="1">
      <c r="A61" s="45" t="s">
        <v>1074</v>
      </c>
      <c r="B61" s="46" t="s">
        <v>1407</v>
      </c>
      <c r="C61" s="46" t="s">
        <v>1408</v>
      </c>
      <c r="D61" s="46" t="s">
        <v>1010</v>
      </c>
      <c r="E61" s="52">
        <v>45323.0</v>
      </c>
      <c r="F61" s="47">
        <v>45458.0</v>
      </c>
      <c r="G61" s="46" t="s">
        <v>2306</v>
      </c>
      <c r="H61" s="48" t="s">
        <v>2307</v>
      </c>
    </row>
    <row r="62" ht="15.75" customHeight="1">
      <c r="A62" s="45" t="s">
        <v>1074</v>
      </c>
      <c r="B62" s="46" t="s">
        <v>2308</v>
      </c>
      <c r="C62" s="46" t="s">
        <v>2309</v>
      </c>
      <c r="D62" s="46" t="s">
        <v>1010</v>
      </c>
      <c r="E62" s="50">
        <v>44562.0</v>
      </c>
      <c r="F62" s="47">
        <v>44788.0</v>
      </c>
      <c r="G62" s="46" t="s">
        <v>2310</v>
      </c>
      <c r="H62" s="48" t="s">
        <v>2311</v>
      </c>
    </row>
    <row r="63" ht="15.75" customHeight="1">
      <c r="A63" s="45" t="s">
        <v>1074</v>
      </c>
      <c r="B63" s="46" t="s">
        <v>1290</v>
      </c>
      <c r="C63" s="46" t="s">
        <v>2316</v>
      </c>
      <c r="D63" s="46" t="s">
        <v>1010</v>
      </c>
      <c r="E63" s="51">
        <v>44593.0</v>
      </c>
      <c r="F63" s="47">
        <v>44788.0</v>
      </c>
      <c r="G63" s="46" t="s">
        <v>2318</v>
      </c>
      <c r="H63" s="48" t="s">
        <v>2319</v>
      </c>
    </row>
    <row r="64" ht="15.75" customHeight="1">
      <c r="A64" s="45" t="s">
        <v>1074</v>
      </c>
      <c r="B64" s="46" t="s">
        <v>2308</v>
      </c>
      <c r="C64" s="46" t="s">
        <v>2309</v>
      </c>
      <c r="D64" s="46" t="s">
        <v>1010</v>
      </c>
      <c r="E64" s="50">
        <v>44593.0</v>
      </c>
      <c r="F64" s="47">
        <v>44788.0</v>
      </c>
      <c r="G64" s="46" t="s">
        <v>2321</v>
      </c>
      <c r="H64" s="48" t="s">
        <v>2322</v>
      </c>
    </row>
    <row r="65" ht="15.75" customHeight="1">
      <c r="A65" s="45" t="s">
        <v>1074</v>
      </c>
      <c r="B65" s="46" t="s">
        <v>1248</v>
      </c>
      <c r="C65" s="46" t="s">
        <v>1249</v>
      </c>
      <c r="D65" s="46" t="s">
        <v>1010</v>
      </c>
      <c r="E65" s="52">
        <v>44621.0</v>
      </c>
      <c r="F65" s="47">
        <v>44788.0</v>
      </c>
      <c r="G65" s="46" t="s">
        <v>2323</v>
      </c>
      <c r="H65" s="48" t="s">
        <v>2324</v>
      </c>
    </row>
    <row r="66" ht="15.75" customHeight="1">
      <c r="A66" s="45" t="s">
        <v>1074</v>
      </c>
      <c r="B66" s="46" t="s">
        <v>2246</v>
      </c>
      <c r="C66" s="46" t="s">
        <v>2334</v>
      </c>
      <c r="D66" s="46" t="s">
        <v>1010</v>
      </c>
      <c r="E66" s="46" t="s">
        <v>2335</v>
      </c>
      <c r="F66" s="53">
        <v>44910.0</v>
      </c>
      <c r="G66" s="46" t="s">
        <v>2336</v>
      </c>
      <c r="H66" s="48" t="s">
        <v>2337</v>
      </c>
    </row>
    <row r="67" ht="15.75" customHeight="1">
      <c r="A67" s="45" t="s">
        <v>1074</v>
      </c>
      <c r="B67" s="46" t="s">
        <v>1191</v>
      </c>
      <c r="C67" s="46" t="s">
        <v>1192</v>
      </c>
      <c r="D67" s="46" t="s">
        <v>1010</v>
      </c>
      <c r="E67" s="52">
        <v>45778.0</v>
      </c>
      <c r="F67" s="53">
        <v>46006.0</v>
      </c>
      <c r="G67" s="46" t="s">
        <v>2338</v>
      </c>
      <c r="H67" s="48" t="s">
        <v>2339</v>
      </c>
    </row>
    <row r="68" ht="15.75" customHeight="1">
      <c r="A68" s="45" t="s">
        <v>1074</v>
      </c>
      <c r="B68" s="46" t="s">
        <v>1191</v>
      </c>
      <c r="C68" s="46" t="s">
        <v>1192</v>
      </c>
      <c r="D68" s="46" t="s">
        <v>1010</v>
      </c>
      <c r="E68" s="52">
        <v>45839.0</v>
      </c>
      <c r="F68" s="53">
        <v>46006.0</v>
      </c>
      <c r="G68" s="46" t="s">
        <v>2338</v>
      </c>
      <c r="H68" s="48" t="s">
        <v>2340</v>
      </c>
    </row>
    <row r="69" ht="15.75" customHeight="1">
      <c r="A69" s="45" t="s">
        <v>1074</v>
      </c>
      <c r="B69" s="46" t="s">
        <v>1191</v>
      </c>
      <c r="C69" s="46" t="s">
        <v>1192</v>
      </c>
      <c r="D69" s="46" t="s">
        <v>1010</v>
      </c>
      <c r="E69" s="52">
        <v>45839.0</v>
      </c>
      <c r="F69" s="53">
        <v>46006.0</v>
      </c>
      <c r="G69" s="46" t="s">
        <v>2338</v>
      </c>
      <c r="H69" s="48" t="s">
        <v>2341</v>
      </c>
    </row>
    <row r="70" ht="15.75" customHeight="1">
      <c r="A70" s="45" t="s">
        <v>1074</v>
      </c>
      <c r="B70" s="46" t="s">
        <v>1191</v>
      </c>
      <c r="C70" s="46" t="s">
        <v>1192</v>
      </c>
      <c r="D70" s="46" t="s">
        <v>1010</v>
      </c>
      <c r="E70" s="52">
        <v>45809.0</v>
      </c>
      <c r="F70" s="53">
        <v>46006.0</v>
      </c>
      <c r="G70" s="46" t="s">
        <v>2342</v>
      </c>
      <c r="H70" s="48" t="s">
        <v>2343</v>
      </c>
    </row>
    <row r="71" ht="15.75" customHeight="1">
      <c r="A71" s="45" t="s">
        <v>1074</v>
      </c>
      <c r="B71" s="46" t="s">
        <v>1191</v>
      </c>
      <c r="C71" s="46" t="s">
        <v>1192</v>
      </c>
      <c r="D71" s="46" t="s">
        <v>1010</v>
      </c>
      <c r="E71" s="52">
        <v>45870.0</v>
      </c>
      <c r="F71" s="53">
        <v>46006.0</v>
      </c>
      <c r="G71" s="46" t="s">
        <v>2342</v>
      </c>
      <c r="H71" s="48" t="s">
        <v>2344</v>
      </c>
    </row>
    <row r="72" ht="15.75" customHeight="1">
      <c r="A72" s="45" t="s">
        <v>1074</v>
      </c>
      <c r="B72" s="46" t="s">
        <v>1450</v>
      </c>
      <c r="C72" s="46" t="s">
        <v>1451</v>
      </c>
      <c r="D72" s="46" t="s">
        <v>1010</v>
      </c>
      <c r="E72" s="46">
        <v>7.0</v>
      </c>
      <c r="F72" s="47">
        <v>44608.0</v>
      </c>
      <c r="G72" s="46" t="s">
        <v>2354</v>
      </c>
      <c r="H72" s="48" t="s">
        <v>2355</v>
      </c>
    </row>
    <row r="73" ht="15.75" customHeight="1">
      <c r="A73" s="45" t="s">
        <v>1074</v>
      </c>
      <c r="B73" s="46" t="s">
        <v>1450</v>
      </c>
      <c r="C73" s="46" t="s">
        <v>1451</v>
      </c>
      <c r="D73" s="46" t="s">
        <v>1010</v>
      </c>
      <c r="E73" s="46">
        <v>6.0</v>
      </c>
      <c r="F73" s="47">
        <v>44608.0</v>
      </c>
      <c r="G73" s="46" t="s">
        <v>2356</v>
      </c>
      <c r="H73" s="48" t="s">
        <v>2357</v>
      </c>
    </row>
    <row r="74" ht="15.75" customHeight="1">
      <c r="A74" s="45" t="s">
        <v>999</v>
      </c>
      <c r="B74" s="46" t="s">
        <v>1003</v>
      </c>
      <c r="C74" s="46" t="s">
        <v>1008</v>
      </c>
      <c r="D74" s="46" t="s">
        <v>1010</v>
      </c>
      <c r="E74" s="52">
        <v>43952.0</v>
      </c>
      <c r="F74" s="47">
        <v>43998.0</v>
      </c>
      <c r="G74" s="46" t="s">
        <v>2358</v>
      </c>
      <c r="H74" s="48" t="s">
        <v>2359</v>
      </c>
    </row>
    <row r="75" ht="15.75" customHeight="1">
      <c r="A75" s="45" t="s">
        <v>1074</v>
      </c>
      <c r="B75" s="46" t="s">
        <v>1290</v>
      </c>
      <c r="C75" s="46" t="s">
        <v>2316</v>
      </c>
      <c r="D75" s="46" t="s">
        <v>1010</v>
      </c>
      <c r="E75" s="51">
        <v>45078.0</v>
      </c>
      <c r="F75" s="47">
        <v>45123.0</v>
      </c>
      <c r="G75" s="46" t="s">
        <v>2360</v>
      </c>
      <c r="H75" s="48" t="s">
        <v>2361</v>
      </c>
    </row>
    <row r="76" ht="15.75" customHeight="1">
      <c r="A76" s="45" t="s">
        <v>1074</v>
      </c>
      <c r="B76" s="46" t="s">
        <v>1121</v>
      </c>
      <c r="C76" s="46" t="s">
        <v>1122</v>
      </c>
      <c r="D76" s="46" t="s">
        <v>1010</v>
      </c>
      <c r="E76" s="50">
        <v>45962.0</v>
      </c>
      <c r="F76" s="47">
        <v>45854.0</v>
      </c>
      <c r="G76" s="46" t="s">
        <v>2362</v>
      </c>
      <c r="H76" s="48" t="s">
        <v>2363</v>
      </c>
    </row>
    <row r="77" ht="15.75" customHeight="1">
      <c r="A77" s="45" t="s">
        <v>1074</v>
      </c>
      <c r="B77" s="46" t="s">
        <v>1248</v>
      </c>
      <c r="C77" s="46" t="s">
        <v>1249</v>
      </c>
      <c r="D77" s="46" t="s">
        <v>1010</v>
      </c>
      <c r="E77" s="52">
        <v>44593.0</v>
      </c>
      <c r="F77" s="47">
        <v>44789.0</v>
      </c>
      <c r="G77" s="46" t="s">
        <v>2364</v>
      </c>
      <c r="H77" s="48" t="s">
        <v>2365</v>
      </c>
    </row>
    <row r="78" ht="15.75" customHeight="1">
      <c r="A78" s="45" t="s">
        <v>1074</v>
      </c>
      <c r="B78" s="46" t="s">
        <v>1407</v>
      </c>
      <c r="C78" s="46" t="s">
        <v>1408</v>
      </c>
      <c r="D78" s="46" t="s">
        <v>1010</v>
      </c>
      <c r="E78" s="52">
        <v>44713.0</v>
      </c>
      <c r="F78" s="47">
        <v>44789.0</v>
      </c>
      <c r="G78" s="46" t="s">
        <v>2379</v>
      </c>
      <c r="H78" s="48" t="s">
        <v>2380</v>
      </c>
    </row>
    <row r="79" ht="15.75" customHeight="1">
      <c r="A79" s="45" t="s">
        <v>1074</v>
      </c>
      <c r="B79" s="46" t="s">
        <v>1407</v>
      </c>
      <c r="C79" s="46" t="s">
        <v>1408</v>
      </c>
      <c r="D79" s="46" t="s">
        <v>1010</v>
      </c>
      <c r="E79" s="52">
        <v>44774.0</v>
      </c>
      <c r="F79" s="47">
        <v>44789.0</v>
      </c>
      <c r="G79" s="46" t="s">
        <v>2381</v>
      </c>
      <c r="H79" s="48" t="s">
        <v>2382</v>
      </c>
    </row>
    <row r="80" ht="15.75" customHeight="1">
      <c r="A80" s="45" t="s">
        <v>1224</v>
      </c>
      <c r="B80" s="46" t="s">
        <v>1075</v>
      </c>
      <c r="C80" s="46" t="s">
        <v>2383</v>
      </c>
      <c r="D80" s="46" t="s">
        <v>1010</v>
      </c>
      <c r="E80" s="46">
        <v>7.0</v>
      </c>
      <c r="F80" s="47">
        <v>45429.0</v>
      </c>
      <c r="G80" s="46" t="s">
        <v>2384</v>
      </c>
      <c r="H80" s="48" t="s">
        <v>2385</v>
      </c>
    </row>
    <row r="81" ht="15.75" customHeight="1">
      <c r="A81" s="45" t="s">
        <v>1224</v>
      </c>
      <c r="B81" s="46" t="s">
        <v>1075</v>
      </c>
      <c r="C81" s="46" t="s">
        <v>1611</v>
      </c>
      <c r="D81" s="46" t="s">
        <v>1010</v>
      </c>
      <c r="E81" s="46" t="s">
        <v>2386</v>
      </c>
      <c r="F81" s="47">
        <v>45429.0</v>
      </c>
      <c r="G81" s="46" t="s">
        <v>2387</v>
      </c>
      <c r="H81" s="48" t="s">
        <v>2388</v>
      </c>
    </row>
    <row r="82" ht="15.75" customHeight="1">
      <c r="A82" s="45" t="s">
        <v>1074</v>
      </c>
      <c r="B82" s="46" t="s">
        <v>1248</v>
      </c>
      <c r="C82" s="46" t="s">
        <v>1249</v>
      </c>
      <c r="D82" s="46" t="s">
        <v>1010</v>
      </c>
      <c r="E82" s="52">
        <v>45505.0</v>
      </c>
      <c r="F82" s="47">
        <v>45460.0</v>
      </c>
      <c r="G82" s="46" t="s">
        <v>2389</v>
      </c>
      <c r="H82" s="48" t="s">
        <v>2390</v>
      </c>
    </row>
    <row r="83" ht="15.75" customHeight="1">
      <c r="A83" s="45" t="s">
        <v>1074</v>
      </c>
      <c r="B83" s="46" t="s">
        <v>1248</v>
      </c>
      <c r="C83" s="46" t="s">
        <v>1249</v>
      </c>
      <c r="D83" s="46" t="s">
        <v>1010</v>
      </c>
      <c r="E83" s="52">
        <v>45474.0</v>
      </c>
      <c r="F83" s="47">
        <v>45460.0</v>
      </c>
      <c r="G83" s="46" t="s">
        <v>2391</v>
      </c>
      <c r="H83" s="48" t="s">
        <v>2392</v>
      </c>
    </row>
    <row r="84" ht="15.75" customHeight="1">
      <c r="A84" s="45" t="s">
        <v>1074</v>
      </c>
      <c r="B84" s="46" t="s">
        <v>1450</v>
      </c>
      <c r="C84" s="46" t="s">
        <v>1451</v>
      </c>
      <c r="D84" s="46" t="s">
        <v>1010</v>
      </c>
      <c r="E84" s="46">
        <v>15.0</v>
      </c>
      <c r="F84" s="47">
        <v>45460.0</v>
      </c>
      <c r="G84" s="46" t="s">
        <v>2393</v>
      </c>
      <c r="H84" s="48" t="s">
        <v>2394</v>
      </c>
    </row>
    <row r="85" ht="15.75" customHeight="1">
      <c r="A85" s="45" t="s">
        <v>1074</v>
      </c>
      <c r="B85" s="46" t="s">
        <v>1248</v>
      </c>
      <c r="C85" s="46" t="s">
        <v>1249</v>
      </c>
      <c r="D85" s="46" t="s">
        <v>1010</v>
      </c>
      <c r="E85" s="52">
        <v>45017.0</v>
      </c>
      <c r="F85" s="47">
        <v>45124.0</v>
      </c>
      <c r="G85" s="46" t="s">
        <v>2395</v>
      </c>
      <c r="H85" s="48" t="s">
        <v>2396</v>
      </c>
    </row>
    <row r="86" ht="15.75" customHeight="1">
      <c r="A86" s="45" t="s">
        <v>1224</v>
      </c>
      <c r="B86" s="46" t="s">
        <v>1075</v>
      </c>
      <c r="C86" s="46" t="s">
        <v>1611</v>
      </c>
      <c r="D86" s="46" t="s">
        <v>1010</v>
      </c>
      <c r="E86" s="46" t="s">
        <v>2399</v>
      </c>
      <c r="F86" s="53">
        <v>45216.0</v>
      </c>
      <c r="G86" s="46" t="s">
        <v>2400</v>
      </c>
      <c r="H86" s="48" t="s">
        <v>2401</v>
      </c>
    </row>
    <row r="87" ht="15.75" customHeight="1">
      <c r="A87" s="45" t="s">
        <v>1074</v>
      </c>
      <c r="B87" s="46" t="s">
        <v>2089</v>
      </c>
      <c r="C87" s="46" t="s">
        <v>2091</v>
      </c>
      <c r="D87" s="46" t="s">
        <v>1010</v>
      </c>
      <c r="E87" s="46" t="s">
        <v>2404</v>
      </c>
      <c r="F87" s="47">
        <v>44610.0</v>
      </c>
      <c r="G87" s="46" t="s">
        <v>2405</v>
      </c>
      <c r="H87" s="48" t="s">
        <v>2406</v>
      </c>
    </row>
    <row r="88" ht="15.75" customHeight="1">
      <c r="A88" s="45" t="s">
        <v>1074</v>
      </c>
      <c r="B88" s="46" t="s">
        <v>1248</v>
      </c>
      <c r="C88" s="46" t="s">
        <v>1249</v>
      </c>
      <c r="D88" s="46" t="s">
        <v>1010</v>
      </c>
      <c r="E88" s="46" t="s">
        <v>2408</v>
      </c>
      <c r="F88" s="47">
        <v>45706.0</v>
      </c>
      <c r="G88" s="46" t="s">
        <v>2409</v>
      </c>
      <c r="H88" s="48" t="s">
        <v>2410</v>
      </c>
    </row>
    <row r="89" ht="15.75" customHeight="1">
      <c r="A89" s="45" t="s">
        <v>1074</v>
      </c>
      <c r="B89" s="46" t="s">
        <v>1450</v>
      </c>
      <c r="C89" s="46" t="s">
        <v>1451</v>
      </c>
      <c r="D89" s="46" t="s">
        <v>1010</v>
      </c>
      <c r="E89" s="46">
        <v>16.0</v>
      </c>
      <c r="F89" s="47">
        <v>45461.0</v>
      </c>
      <c r="G89" s="46" t="s">
        <v>2414</v>
      </c>
      <c r="H89" s="48" t="s">
        <v>2416</v>
      </c>
    </row>
    <row r="90" ht="15.75" customHeight="1">
      <c r="A90" s="45" t="s">
        <v>1074</v>
      </c>
      <c r="B90" s="46" t="s">
        <v>1450</v>
      </c>
      <c r="C90" s="46" t="s">
        <v>1451</v>
      </c>
      <c r="D90" s="46" t="s">
        <v>1010</v>
      </c>
      <c r="E90" s="46">
        <v>16.0</v>
      </c>
      <c r="F90" s="47">
        <v>45461.0</v>
      </c>
      <c r="G90" s="46" t="s">
        <v>2414</v>
      </c>
      <c r="H90" s="48" t="s">
        <v>2419</v>
      </c>
    </row>
    <row r="91" ht="15.75" customHeight="1">
      <c r="A91" s="45" t="s">
        <v>1074</v>
      </c>
      <c r="B91" s="46" t="s">
        <v>1121</v>
      </c>
      <c r="C91" s="46" t="s">
        <v>1122</v>
      </c>
      <c r="D91" s="46" t="s">
        <v>1010</v>
      </c>
      <c r="E91" s="50">
        <v>45505.0</v>
      </c>
      <c r="F91" s="47">
        <v>45461.0</v>
      </c>
      <c r="G91" s="46" t="s">
        <v>2420</v>
      </c>
      <c r="H91" s="48" t="s">
        <v>2421</v>
      </c>
    </row>
    <row r="92" ht="15.75" customHeight="1">
      <c r="A92" s="45" t="s">
        <v>1074</v>
      </c>
      <c r="B92" s="46" t="s">
        <v>1121</v>
      </c>
      <c r="C92" s="46" t="s">
        <v>1122</v>
      </c>
      <c r="D92" s="46" t="s">
        <v>1010</v>
      </c>
      <c r="E92" s="50">
        <v>45047.0</v>
      </c>
      <c r="F92" s="47">
        <v>45125.0</v>
      </c>
      <c r="G92" s="46" t="s">
        <v>2422</v>
      </c>
      <c r="H92" s="48" t="s">
        <v>2423</v>
      </c>
    </row>
    <row r="93" ht="15.75" customHeight="1">
      <c r="A93" s="45" t="s">
        <v>1074</v>
      </c>
      <c r="B93" s="46" t="s">
        <v>1248</v>
      </c>
      <c r="C93" s="46" t="s">
        <v>1249</v>
      </c>
      <c r="D93" s="46" t="s">
        <v>1010</v>
      </c>
      <c r="E93" s="52">
        <v>45047.0</v>
      </c>
      <c r="F93" s="47">
        <v>45125.0</v>
      </c>
      <c r="G93" s="46" t="s">
        <v>2432</v>
      </c>
      <c r="H93" s="48" t="s">
        <v>2433</v>
      </c>
    </row>
    <row r="94" ht="15.75" customHeight="1">
      <c r="A94" s="45" t="s">
        <v>1074</v>
      </c>
      <c r="B94" s="46" t="s">
        <v>1407</v>
      </c>
      <c r="C94" s="46" t="s">
        <v>1408</v>
      </c>
      <c r="D94" s="46" t="s">
        <v>1010</v>
      </c>
      <c r="E94" s="50">
        <v>45200.0</v>
      </c>
      <c r="F94" s="47">
        <v>45096.0</v>
      </c>
      <c r="G94" s="46" t="s">
        <v>2434</v>
      </c>
      <c r="H94" s="48" t="s">
        <v>2435</v>
      </c>
    </row>
    <row r="95" ht="15.75" customHeight="1">
      <c r="A95" s="45" t="s">
        <v>1074</v>
      </c>
      <c r="B95" s="46" t="s">
        <v>1075</v>
      </c>
      <c r="C95" s="46" t="s">
        <v>1077</v>
      </c>
      <c r="D95" s="46" t="s">
        <v>1010</v>
      </c>
      <c r="E95" s="46" t="s">
        <v>2436</v>
      </c>
      <c r="F95" s="47">
        <v>45462.0</v>
      </c>
      <c r="G95" s="46" t="s">
        <v>2437</v>
      </c>
      <c r="H95" s="48" t="s">
        <v>2438</v>
      </c>
    </row>
    <row r="96" ht="15.75" customHeight="1">
      <c r="A96" s="45" t="s">
        <v>1074</v>
      </c>
      <c r="B96" s="46" t="s">
        <v>1248</v>
      </c>
      <c r="C96" s="46" t="s">
        <v>1249</v>
      </c>
      <c r="D96" s="46" t="s">
        <v>1010</v>
      </c>
      <c r="E96" s="52">
        <v>44562.0</v>
      </c>
      <c r="F96" s="47">
        <v>44761.0</v>
      </c>
      <c r="G96" s="46" t="s">
        <v>2439</v>
      </c>
      <c r="H96" s="48" t="s">
        <v>2440</v>
      </c>
    </row>
    <row r="97" ht="15.75" customHeight="1">
      <c r="A97" s="45" t="s">
        <v>1074</v>
      </c>
      <c r="B97" s="46" t="s">
        <v>1121</v>
      </c>
      <c r="C97" s="46" t="s">
        <v>1122</v>
      </c>
      <c r="D97" s="46" t="s">
        <v>1010</v>
      </c>
      <c r="E97" s="50">
        <v>45536.0</v>
      </c>
      <c r="F97" s="47">
        <v>45492.0</v>
      </c>
      <c r="G97" s="46" t="s">
        <v>2441</v>
      </c>
      <c r="H97" s="48" t="s">
        <v>2442</v>
      </c>
    </row>
    <row r="98" ht="15.75" customHeight="1">
      <c r="A98" s="45" t="s">
        <v>1074</v>
      </c>
      <c r="B98" s="46" t="s">
        <v>2443</v>
      </c>
      <c r="C98" s="46" t="s">
        <v>2444</v>
      </c>
      <c r="D98" s="46" t="s">
        <v>1010</v>
      </c>
      <c r="E98" s="52">
        <v>44593.0</v>
      </c>
      <c r="F98" s="47">
        <v>44792.0</v>
      </c>
      <c r="G98" s="46" t="s">
        <v>2445</v>
      </c>
      <c r="H98" s="48" t="s">
        <v>2446</v>
      </c>
    </row>
    <row r="99" ht="15.75" customHeight="1">
      <c r="A99" s="45" t="s">
        <v>2447</v>
      </c>
      <c r="B99" s="46" t="s">
        <v>2308</v>
      </c>
      <c r="C99" s="46" t="s">
        <v>2448</v>
      </c>
      <c r="D99" s="46" t="s">
        <v>1010</v>
      </c>
      <c r="E99" s="46">
        <v>0.0</v>
      </c>
      <c r="F99" s="53">
        <v>45218.0</v>
      </c>
      <c r="G99" s="46" t="s">
        <v>2449</v>
      </c>
      <c r="H99" s="48" t="s">
        <v>2450</v>
      </c>
    </row>
    <row r="100" ht="15.75" customHeight="1">
      <c r="A100" s="45" t="s">
        <v>1074</v>
      </c>
      <c r="B100" s="46" t="s">
        <v>1075</v>
      </c>
      <c r="C100" s="46" t="s">
        <v>1077</v>
      </c>
      <c r="D100" s="46" t="s">
        <v>1010</v>
      </c>
      <c r="E100" s="46" t="s">
        <v>2461</v>
      </c>
      <c r="F100" s="53">
        <v>43818.0</v>
      </c>
      <c r="G100" s="46" t="s">
        <v>2462</v>
      </c>
      <c r="H100" s="48" t="s">
        <v>2463</v>
      </c>
    </row>
    <row r="101" ht="15.75" customHeight="1">
      <c r="A101" s="45" t="s">
        <v>1074</v>
      </c>
      <c r="B101" s="46" t="s">
        <v>1121</v>
      </c>
      <c r="C101" s="46" t="s">
        <v>1122</v>
      </c>
      <c r="D101" s="46" t="s">
        <v>1010</v>
      </c>
      <c r="E101" s="46" t="s">
        <v>2464</v>
      </c>
      <c r="F101" s="53">
        <v>46010.0</v>
      </c>
      <c r="G101" s="46" t="s">
        <v>2465</v>
      </c>
      <c r="H101" s="48" t="s">
        <v>2466</v>
      </c>
    </row>
    <row r="102" ht="15.75" customHeight="1">
      <c r="A102" s="45" t="s">
        <v>1224</v>
      </c>
      <c r="B102" s="46" t="s">
        <v>2467</v>
      </c>
      <c r="C102" s="46" t="s">
        <v>2468</v>
      </c>
      <c r="D102" s="46" t="s">
        <v>1010</v>
      </c>
      <c r="E102" s="46" t="s">
        <v>2408</v>
      </c>
      <c r="F102" s="53">
        <v>46010.0</v>
      </c>
      <c r="G102" s="46" t="s">
        <v>2469</v>
      </c>
      <c r="H102" s="48" t="s">
        <v>2470</v>
      </c>
    </row>
    <row r="103" ht="15.75" customHeight="1">
      <c r="A103" s="45" t="s">
        <v>1074</v>
      </c>
      <c r="B103" s="46" t="s">
        <v>1191</v>
      </c>
      <c r="C103" s="46" t="s">
        <v>1192</v>
      </c>
      <c r="D103" s="46" t="s">
        <v>1010</v>
      </c>
      <c r="E103" s="52">
        <v>45292.0</v>
      </c>
      <c r="F103" s="47">
        <v>45342.0</v>
      </c>
      <c r="G103" s="46" t="s">
        <v>2471</v>
      </c>
      <c r="H103" s="48" t="s">
        <v>2472</v>
      </c>
    </row>
    <row r="104" ht="15.75" customHeight="1">
      <c r="A104" s="45" t="s">
        <v>1224</v>
      </c>
      <c r="B104" s="46" t="s">
        <v>2467</v>
      </c>
      <c r="C104" s="46" t="s">
        <v>2468</v>
      </c>
      <c r="D104" s="46" t="s">
        <v>1010</v>
      </c>
      <c r="E104" s="51">
        <v>44682.0</v>
      </c>
      <c r="F104" s="47">
        <v>45005.0</v>
      </c>
      <c r="G104" s="46" t="s">
        <v>2473</v>
      </c>
      <c r="H104" s="48" t="s">
        <v>2474</v>
      </c>
    </row>
    <row r="105" ht="15.75" customHeight="1">
      <c r="A105" s="45" t="s">
        <v>1074</v>
      </c>
      <c r="B105" s="46" t="s">
        <v>1191</v>
      </c>
      <c r="C105" s="46" t="s">
        <v>1192</v>
      </c>
      <c r="D105" s="46" t="s">
        <v>1010</v>
      </c>
      <c r="E105" s="52">
        <v>44927.0</v>
      </c>
      <c r="F105" s="47">
        <v>45097.0</v>
      </c>
      <c r="G105" s="46" t="s">
        <v>2475</v>
      </c>
      <c r="H105" s="48" t="s">
        <v>2476</v>
      </c>
    </row>
    <row r="106" ht="15.75" customHeight="1">
      <c r="A106" s="45" t="s">
        <v>1074</v>
      </c>
      <c r="B106" s="46" t="s">
        <v>2477</v>
      </c>
      <c r="C106" s="46" t="s">
        <v>2478</v>
      </c>
      <c r="D106" s="46" t="s">
        <v>1010</v>
      </c>
      <c r="E106" s="46" t="s">
        <v>2479</v>
      </c>
      <c r="F106" s="47">
        <v>45097.0</v>
      </c>
      <c r="G106" s="46" t="s">
        <v>2480</v>
      </c>
      <c r="H106" s="48" t="s">
        <v>2481</v>
      </c>
    </row>
    <row r="107" ht="15.75" customHeight="1">
      <c r="A107" s="45" t="s">
        <v>1074</v>
      </c>
      <c r="B107" s="46" t="s">
        <v>1003</v>
      </c>
      <c r="C107" s="46" t="s">
        <v>2482</v>
      </c>
      <c r="D107" s="46" t="s">
        <v>1010</v>
      </c>
      <c r="E107" s="50">
        <v>45078.0</v>
      </c>
      <c r="F107" s="47">
        <v>45127.0</v>
      </c>
      <c r="G107" s="46" t="s">
        <v>2483</v>
      </c>
      <c r="H107" s="48" t="s">
        <v>2484</v>
      </c>
    </row>
    <row r="108" ht="15.75" customHeight="1">
      <c r="A108" s="45" t="s">
        <v>1074</v>
      </c>
      <c r="B108" s="46" t="s">
        <v>1191</v>
      </c>
      <c r="C108" s="46" t="s">
        <v>1192</v>
      </c>
      <c r="D108" s="46" t="s">
        <v>1010</v>
      </c>
      <c r="E108" s="50">
        <v>44958.0</v>
      </c>
      <c r="F108" s="47">
        <v>45127.0</v>
      </c>
      <c r="G108" s="46" t="s">
        <v>2485</v>
      </c>
      <c r="H108" s="48" t="s">
        <v>2486</v>
      </c>
    </row>
    <row r="109" ht="15.75" customHeight="1">
      <c r="A109" s="45" t="s">
        <v>1074</v>
      </c>
      <c r="B109" s="46" t="s">
        <v>1248</v>
      </c>
      <c r="C109" s="46" t="s">
        <v>1249</v>
      </c>
      <c r="D109" s="46" t="s">
        <v>1010</v>
      </c>
      <c r="E109" s="52">
        <v>45078.0</v>
      </c>
      <c r="F109" s="47">
        <v>45127.0</v>
      </c>
      <c r="G109" s="46" t="s">
        <v>2487</v>
      </c>
      <c r="H109" s="48" t="s">
        <v>2488</v>
      </c>
    </row>
    <row r="110" ht="15.75" customHeight="1">
      <c r="A110" s="45" t="s">
        <v>1074</v>
      </c>
      <c r="B110" s="46" t="s">
        <v>1225</v>
      </c>
      <c r="C110" s="46" t="s">
        <v>2489</v>
      </c>
      <c r="D110" s="46" t="s">
        <v>1010</v>
      </c>
      <c r="E110" s="50">
        <v>44228.0</v>
      </c>
      <c r="F110" s="47">
        <v>44307.0</v>
      </c>
      <c r="G110" s="46" t="s">
        <v>2490</v>
      </c>
      <c r="H110" s="48" t="s">
        <v>2491</v>
      </c>
    </row>
    <row r="111" ht="15.75" customHeight="1">
      <c r="A111" s="45" t="s">
        <v>1074</v>
      </c>
      <c r="B111" s="46" t="s">
        <v>1450</v>
      </c>
      <c r="C111" s="46" t="s">
        <v>1451</v>
      </c>
      <c r="D111" s="46" t="s">
        <v>1010</v>
      </c>
      <c r="E111" s="46" t="s">
        <v>2492</v>
      </c>
      <c r="F111" s="47">
        <v>45098.0</v>
      </c>
      <c r="G111" s="46" t="s">
        <v>2493</v>
      </c>
      <c r="H111" s="48" t="s">
        <v>2494</v>
      </c>
    </row>
    <row r="112" ht="15.75" customHeight="1">
      <c r="A112" s="45" t="s">
        <v>1224</v>
      </c>
      <c r="B112" s="46" t="s">
        <v>2246</v>
      </c>
      <c r="C112" s="46" t="s">
        <v>2247</v>
      </c>
      <c r="D112" s="46" t="s">
        <v>1010</v>
      </c>
      <c r="E112" s="46" t="s">
        <v>2495</v>
      </c>
      <c r="F112" s="53">
        <v>45617.0</v>
      </c>
      <c r="G112" s="46" t="s">
        <v>2496</v>
      </c>
      <c r="H112" s="48" t="s">
        <v>2497</v>
      </c>
    </row>
    <row r="113" ht="15.75" customHeight="1">
      <c r="A113" s="45" t="s">
        <v>1074</v>
      </c>
      <c r="B113" s="46" t="s">
        <v>2246</v>
      </c>
      <c r="C113" s="46" t="s">
        <v>2334</v>
      </c>
      <c r="D113" s="46" t="s">
        <v>1010</v>
      </c>
      <c r="E113" s="50">
        <v>44713.0</v>
      </c>
      <c r="F113" s="53">
        <v>44916.0</v>
      </c>
      <c r="G113" s="46" t="s">
        <v>2498</v>
      </c>
      <c r="H113" s="48" t="s">
        <v>2499</v>
      </c>
    </row>
    <row r="114" ht="15.75" customHeight="1">
      <c r="A114" s="45" t="s">
        <v>999</v>
      </c>
      <c r="B114" s="46" t="s">
        <v>1003</v>
      </c>
      <c r="C114" s="46" t="s">
        <v>1008</v>
      </c>
      <c r="D114" s="46" t="s">
        <v>1010</v>
      </c>
      <c r="E114" s="52">
        <v>43922.0</v>
      </c>
      <c r="F114" s="47">
        <v>43943.0</v>
      </c>
      <c r="G114" s="46" t="s">
        <v>2500</v>
      </c>
      <c r="H114" s="48" t="s">
        <v>2501</v>
      </c>
    </row>
    <row r="115" ht="15.75" customHeight="1">
      <c r="A115" s="45" t="s">
        <v>1224</v>
      </c>
      <c r="B115" s="46" t="s">
        <v>1173</v>
      </c>
      <c r="C115" s="46" t="s">
        <v>2502</v>
      </c>
      <c r="D115" s="46" t="s">
        <v>1010</v>
      </c>
      <c r="E115" s="46" t="s">
        <v>2503</v>
      </c>
      <c r="F115" s="47">
        <v>45769.0</v>
      </c>
      <c r="G115" s="46" t="s">
        <v>2504</v>
      </c>
      <c r="H115" s="48" t="s">
        <v>2505</v>
      </c>
    </row>
    <row r="116" ht="15.75" customHeight="1">
      <c r="A116" s="45" t="s">
        <v>1224</v>
      </c>
      <c r="B116" s="46" t="s">
        <v>1173</v>
      </c>
      <c r="C116" s="46" t="s">
        <v>2502</v>
      </c>
      <c r="D116" s="46" t="s">
        <v>1010</v>
      </c>
      <c r="E116" s="46" t="s">
        <v>2503</v>
      </c>
      <c r="F116" s="47">
        <v>45769.0</v>
      </c>
      <c r="G116" s="46" t="s">
        <v>2504</v>
      </c>
      <c r="H116" s="48" t="s">
        <v>2506</v>
      </c>
    </row>
    <row r="117" ht="15.75" customHeight="1">
      <c r="A117" s="45" t="s">
        <v>999</v>
      </c>
      <c r="B117" s="46" t="s">
        <v>1542</v>
      </c>
      <c r="C117" s="46" t="s">
        <v>1008</v>
      </c>
      <c r="D117" s="46" t="s">
        <v>1010</v>
      </c>
      <c r="E117" s="46" t="s">
        <v>2297</v>
      </c>
      <c r="F117" s="47">
        <v>45769.0</v>
      </c>
      <c r="G117" s="46" t="s">
        <v>2507</v>
      </c>
      <c r="H117" s="48" t="s">
        <v>2508</v>
      </c>
    </row>
    <row r="118" ht="15.75" customHeight="1">
      <c r="A118" s="45" t="s">
        <v>1074</v>
      </c>
      <c r="B118" s="46" t="s">
        <v>1290</v>
      </c>
      <c r="C118" s="46" t="s">
        <v>2316</v>
      </c>
      <c r="D118" s="46" t="s">
        <v>1010</v>
      </c>
      <c r="E118" s="51">
        <v>45017.0</v>
      </c>
      <c r="F118" s="47">
        <v>45068.0</v>
      </c>
      <c r="G118" s="46" t="s">
        <v>2509</v>
      </c>
      <c r="H118" s="48" t="s">
        <v>2510</v>
      </c>
    </row>
    <row r="119" ht="15.75" customHeight="1">
      <c r="A119" s="45" t="s">
        <v>999</v>
      </c>
      <c r="B119" s="46" t="s">
        <v>1173</v>
      </c>
      <c r="C119" s="46" t="s">
        <v>1174</v>
      </c>
      <c r="D119" s="46" t="s">
        <v>1010</v>
      </c>
      <c r="E119" s="52">
        <v>45352.0</v>
      </c>
      <c r="F119" s="47">
        <v>45495.0</v>
      </c>
      <c r="G119" s="46" t="s">
        <v>2511</v>
      </c>
      <c r="H119" s="48" t="s">
        <v>2512</v>
      </c>
    </row>
    <row r="120" ht="15.75" customHeight="1">
      <c r="A120" s="45" t="s">
        <v>1074</v>
      </c>
      <c r="B120" s="46" t="s">
        <v>2477</v>
      </c>
      <c r="C120" s="46" t="s">
        <v>2478</v>
      </c>
      <c r="D120" s="46" t="s">
        <v>1010</v>
      </c>
      <c r="E120" s="52">
        <v>44562.0</v>
      </c>
      <c r="F120" s="47">
        <v>44795.0</v>
      </c>
      <c r="G120" s="46" t="s">
        <v>2513</v>
      </c>
      <c r="H120" s="48" t="s">
        <v>2514</v>
      </c>
    </row>
    <row r="121" ht="15.75" customHeight="1">
      <c r="A121" s="45" t="s">
        <v>1074</v>
      </c>
      <c r="B121" s="46" t="s">
        <v>2477</v>
      </c>
      <c r="C121" s="46" t="s">
        <v>2478</v>
      </c>
      <c r="D121" s="46" t="s">
        <v>1010</v>
      </c>
      <c r="E121" s="52">
        <v>44562.0</v>
      </c>
      <c r="F121" s="47">
        <v>44795.0</v>
      </c>
      <c r="G121" s="46" t="s">
        <v>2513</v>
      </c>
      <c r="H121" s="48" t="s">
        <v>2515</v>
      </c>
    </row>
    <row r="122" ht="15.75" customHeight="1">
      <c r="A122" s="45" t="s">
        <v>1074</v>
      </c>
      <c r="B122" s="46" t="s">
        <v>1290</v>
      </c>
      <c r="C122" s="46" t="s">
        <v>2316</v>
      </c>
      <c r="D122" s="46" t="s">
        <v>1010</v>
      </c>
      <c r="E122" s="46" t="s">
        <v>2516</v>
      </c>
      <c r="F122" s="47">
        <v>44795.0</v>
      </c>
      <c r="G122" s="46" t="s">
        <v>2517</v>
      </c>
      <c r="H122" s="48" t="s">
        <v>2518</v>
      </c>
    </row>
    <row r="123" ht="15.75" customHeight="1">
      <c r="A123" s="45" t="s">
        <v>1074</v>
      </c>
      <c r="B123" s="46" t="s">
        <v>2117</v>
      </c>
      <c r="C123" s="46" t="s">
        <v>2119</v>
      </c>
      <c r="D123" s="46" t="s">
        <v>1010</v>
      </c>
      <c r="E123" s="52">
        <v>44621.0</v>
      </c>
      <c r="F123" s="47">
        <v>44795.0</v>
      </c>
      <c r="G123" s="46" t="s">
        <v>2519</v>
      </c>
      <c r="H123" s="48" t="s">
        <v>2520</v>
      </c>
    </row>
    <row r="124" ht="15.75" customHeight="1">
      <c r="A124" s="45" t="s">
        <v>1074</v>
      </c>
      <c r="B124" s="46" t="s">
        <v>1121</v>
      </c>
      <c r="C124" s="46" t="s">
        <v>1122</v>
      </c>
      <c r="D124" s="46" t="s">
        <v>1010</v>
      </c>
      <c r="E124" s="52">
        <v>44621.0</v>
      </c>
      <c r="F124" s="47">
        <v>44795.0</v>
      </c>
      <c r="G124" s="46" t="s">
        <v>2521</v>
      </c>
      <c r="H124" s="48" t="s">
        <v>2522</v>
      </c>
    </row>
    <row r="125" ht="15.75" customHeight="1">
      <c r="A125" s="45" t="s">
        <v>1074</v>
      </c>
      <c r="B125" s="46" t="s">
        <v>2246</v>
      </c>
      <c r="C125" s="46" t="s">
        <v>2334</v>
      </c>
      <c r="D125" s="46" t="s">
        <v>1010</v>
      </c>
      <c r="E125" s="46" t="s">
        <v>2523</v>
      </c>
      <c r="F125" s="53">
        <v>45282.0</v>
      </c>
      <c r="G125" s="46" t="s">
        <v>2524</v>
      </c>
      <c r="H125" s="48" t="s">
        <v>2525</v>
      </c>
    </row>
    <row r="126" ht="15.75" customHeight="1">
      <c r="A126" s="45" t="s">
        <v>1074</v>
      </c>
      <c r="B126" s="46" t="s">
        <v>1191</v>
      </c>
      <c r="C126" s="46" t="s">
        <v>1192</v>
      </c>
      <c r="D126" s="46" t="s">
        <v>1010</v>
      </c>
      <c r="E126" s="52">
        <v>45323.0</v>
      </c>
      <c r="F126" s="47">
        <v>45345.0</v>
      </c>
      <c r="G126" s="46" t="s">
        <v>2526</v>
      </c>
      <c r="H126" s="48" t="s">
        <v>2527</v>
      </c>
    </row>
    <row r="127" ht="15.75" customHeight="1">
      <c r="A127" s="45" t="s">
        <v>999</v>
      </c>
      <c r="B127" s="46" t="s">
        <v>1542</v>
      </c>
      <c r="C127" s="46" t="s">
        <v>1008</v>
      </c>
      <c r="D127" s="46" t="s">
        <v>1010</v>
      </c>
      <c r="E127" s="46" t="s">
        <v>2528</v>
      </c>
      <c r="F127" s="47">
        <v>45770.0</v>
      </c>
      <c r="G127" s="46" t="s">
        <v>2529</v>
      </c>
      <c r="H127" s="48" t="s">
        <v>2530</v>
      </c>
    </row>
    <row r="128" ht="15.75" customHeight="1">
      <c r="A128" s="45" t="s">
        <v>1074</v>
      </c>
      <c r="B128" s="46" t="s">
        <v>2531</v>
      </c>
      <c r="C128" s="46" t="s">
        <v>2532</v>
      </c>
      <c r="D128" s="46" t="s">
        <v>1010</v>
      </c>
      <c r="E128" s="46" t="s">
        <v>2533</v>
      </c>
      <c r="F128" s="47">
        <v>45192.0</v>
      </c>
      <c r="G128" s="46" t="s">
        <v>2534</v>
      </c>
      <c r="H128" s="48" t="s">
        <v>2535</v>
      </c>
    </row>
    <row r="129" ht="15.75" customHeight="1">
      <c r="A129" s="45" t="s">
        <v>1074</v>
      </c>
      <c r="B129" s="46" t="s">
        <v>1893</v>
      </c>
      <c r="C129" s="46" t="s">
        <v>1894</v>
      </c>
      <c r="D129" s="46" t="s">
        <v>1010</v>
      </c>
      <c r="E129" s="50">
        <v>45017.0</v>
      </c>
      <c r="F129" s="47">
        <v>44981.0</v>
      </c>
      <c r="G129" s="46" t="s">
        <v>2536</v>
      </c>
      <c r="H129" s="48" t="s">
        <v>2537</v>
      </c>
    </row>
    <row r="130" ht="15.75" customHeight="1">
      <c r="A130" s="45" t="s">
        <v>1074</v>
      </c>
      <c r="B130" s="46" t="s">
        <v>1450</v>
      </c>
      <c r="C130" s="46" t="s">
        <v>1451</v>
      </c>
      <c r="D130" s="46" t="s">
        <v>1010</v>
      </c>
      <c r="E130" s="46">
        <v>12.0</v>
      </c>
      <c r="F130" s="47">
        <v>45070.0</v>
      </c>
      <c r="G130" s="46" t="s">
        <v>2538</v>
      </c>
      <c r="H130" s="48" t="s">
        <v>2539</v>
      </c>
    </row>
    <row r="131" ht="15.75" customHeight="1">
      <c r="A131" s="45" t="s">
        <v>1074</v>
      </c>
      <c r="B131" s="46" t="s">
        <v>1173</v>
      </c>
      <c r="C131" s="46" t="s">
        <v>2267</v>
      </c>
      <c r="D131" s="46" t="s">
        <v>1010</v>
      </c>
      <c r="E131" s="52">
        <v>44562.0</v>
      </c>
      <c r="F131" s="47">
        <v>44736.0</v>
      </c>
      <c r="G131" s="46" t="s">
        <v>2540</v>
      </c>
      <c r="H131" s="48" t="s">
        <v>2541</v>
      </c>
    </row>
    <row r="132" ht="15.75" customHeight="1">
      <c r="A132" s="45" t="s">
        <v>1074</v>
      </c>
      <c r="B132" s="46" t="s">
        <v>1717</v>
      </c>
      <c r="C132" s="46" t="s">
        <v>1718</v>
      </c>
      <c r="D132" s="46" t="s">
        <v>1010</v>
      </c>
      <c r="E132" s="52">
        <v>45047.0</v>
      </c>
      <c r="F132" s="47">
        <v>45131.0</v>
      </c>
      <c r="G132" s="46" t="s">
        <v>2542</v>
      </c>
      <c r="H132" s="48" t="s">
        <v>2543</v>
      </c>
    </row>
    <row r="133" ht="15.75" customHeight="1">
      <c r="A133" s="45" t="s">
        <v>1074</v>
      </c>
      <c r="B133" s="46" t="s">
        <v>1717</v>
      </c>
      <c r="C133" s="46" t="s">
        <v>1718</v>
      </c>
      <c r="D133" s="46" t="s">
        <v>1010</v>
      </c>
      <c r="E133" s="52">
        <v>45047.0</v>
      </c>
      <c r="F133" s="47">
        <v>45131.0</v>
      </c>
      <c r="G133" s="46" t="s">
        <v>2544</v>
      </c>
      <c r="H133" s="48" t="s">
        <v>2545</v>
      </c>
    </row>
    <row r="134" ht="15.75" customHeight="1">
      <c r="A134" s="45" t="s">
        <v>1074</v>
      </c>
      <c r="B134" s="46" t="s">
        <v>1290</v>
      </c>
      <c r="C134" s="46" t="s">
        <v>2316</v>
      </c>
      <c r="D134" s="46" t="s">
        <v>1010</v>
      </c>
      <c r="E134" s="52">
        <v>45078.0</v>
      </c>
      <c r="F134" s="47">
        <v>45131.0</v>
      </c>
      <c r="G134" s="46" t="s">
        <v>2546</v>
      </c>
      <c r="H134" s="48" t="s">
        <v>2547</v>
      </c>
    </row>
    <row r="135" ht="15.75" customHeight="1">
      <c r="A135" s="45" t="s">
        <v>1074</v>
      </c>
      <c r="B135" s="46" t="s">
        <v>2117</v>
      </c>
      <c r="C135" s="46" t="s">
        <v>2119</v>
      </c>
      <c r="D135" s="46" t="s">
        <v>1010</v>
      </c>
      <c r="E135" s="50">
        <v>45352.0</v>
      </c>
      <c r="F135" s="47">
        <v>45497.0</v>
      </c>
      <c r="G135" s="46" t="s">
        <v>2548</v>
      </c>
      <c r="H135" s="48" t="s">
        <v>2549</v>
      </c>
    </row>
    <row r="136" ht="15.75" customHeight="1">
      <c r="A136" s="45" t="s">
        <v>1074</v>
      </c>
      <c r="B136" s="46" t="s">
        <v>2117</v>
      </c>
      <c r="C136" s="46" t="s">
        <v>2119</v>
      </c>
      <c r="D136" s="46" t="s">
        <v>1010</v>
      </c>
      <c r="E136" s="50">
        <v>45323.0</v>
      </c>
      <c r="F136" s="47">
        <v>45497.0</v>
      </c>
      <c r="G136" s="46" t="s">
        <v>2550</v>
      </c>
      <c r="H136" s="48" t="s">
        <v>2551</v>
      </c>
    </row>
    <row r="137" ht="15.75" customHeight="1">
      <c r="A137" s="45" t="s">
        <v>1074</v>
      </c>
      <c r="B137" s="46" t="s">
        <v>2117</v>
      </c>
      <c r="C137" s="46" t="s">
        <v>2119</v>
      </c>
      <c r="D137" s="46" t="s">
        <v>1010</v>
      </c>
      <c r="E137" s="50">
        <v>45292.0</v>
      </c>
      <c r="F137" s="47">
        <v>45497.0</v>
      </c>
      <c r="G137" s="46" t="s">
        <v>2552</v>
      </c>
      <c r="H137" s="48" t="s">
        <v>2553</v>
      </c>
    </row>
    <row r="138" ht="15.75" customHeight="1">
      <c r="A138" s="45" t="s">
        <v>1074</v>
      </c>
      <c r="B138" s="46" t="s">
        <v>1450</v>
      </c>
      <c r="C138" s="46" t="s">
        <v>1451</v>
      </c>
      <c r="D138" s="46" t="s">
        <v>1010</v>
      </c>
      <c r="E138" s="46">
        <v>14.0</v>
      </c>
      <c r="F138" s="53">
        <v>45223.0</v>
      </c>
      <c r="G138" s="46" t="s">
        <v>2554</v>
      </c>
      <c r="H138" s="48" t="s">
        <v>2555</v>
      </c>
    </row>
    <row r="139" ht="15.75" customHeight="1">
      <c r="A139" s="45" t="s">
        <v>1074</v>
      </c>
      <c r="B139" s="46" t="s">
        <v>1827</v>
      </c>
      <c r="C139" s="46" t="s">
        <v>2556</v>
      </c>
      <c r="D139" s="46" t="s">
        <v>1010</v>
      </c>
      <c r="E139" s="50">
        <v>44562.0</v>
      </c>
      <c r="F139" s="53">
        <v>44919.0</v>
      </c>
      <c r="G139" s="46" t="s">
        <v>2557</v>
      </c>
      <c r="H139" s="48" t="s">
        <v>2558</v>
      </c>
    </row>
    <row r="140" ht="15.75" customHeight="1">
      <c r="A140" s="45" t="s">
        <v>1074</v>
      </c>
      <c r="B140" s="46" t="s">
        <v>1450</v>
      </c>
      <c r="C140" s="46" t="s">
        <v>1451</v>
      </c>
      <c r="D140" s="46" t="s">
        <v>1010</v>
      </c>
      <c r="E140" s="50">
        <v>45047.0</v>
      </c>
      <c r="F140" s="47">
        <v>44587.0</v>
      </c>
      <c r="G140" s="46" t="s">
        <v>2559</v>
      </c>
      <c r="H140" s="48" t="s">
        <v>2560</v>
      </c>
    </row>
    <row r="141" ht="15.75" customHeight="1">
      <c r="A141" s="45" t="s">
        <v>1074</v>
      </c>
      <c r="B141" s="46" t="s">
        <v>1450</v>
      </c>
      <c r="C141" s="46" t="s">
        <v>1451</v>
      </c>
      <c r="D141" s="46" t="s">
        <v>1010</v>
      </c>
      <c r="E141" s="46">
        <v>4.0</v>
      </c>
      <c r="F141" s="47">
        <v>44587.0</v>
      </c>
      <c r="G141" s="46" t="s">
        <v>2561</v>
      </c>
      <c r="H141" s="48" t="s">
        <v>2562</v>
      </c>
    </row>
    <row r="142" ht="15.75" customHeight="1">
      <c r="A142" s="45" t="s">
        <v>999</v>
      </c>
      <c r="B142" s="46" t="s">
        <v>1290</v>
      </c>
      <c r="C142" s="46" t="s">
        <v>1008</v>
      </c>
      <c r="D142" s="46" t="s">
        <v>1010</v>
      </c>
      <c r="E142" s="46" t="s">
        <v>2563</v>
      </c>
      <c r="F142" s="47">
        <v>46048.0</v>
      </c>
      <c r="G142" s="46" t="s">
        <v>2564</v>
      </c>
      <c r="H142" s="48" t="s">
        <v>2565</v>
      </c>
    </row>
    <row r="143" ht="15.75" customHeight="1">
      <c r="A143" s="45" t="s">
        <v>1074</v>
      </c>
      <c r="B143" s="46" t="s">
        <v>1225</v>
      </c>
      <c r="C143" s="46" t="s">
        <v>2489</v>
      </c>
      <c r="D143" s="46" t="s">
        <v>1010</v>
      </c>
      <c r="E143" s="46" t="s">
        <v>2566</v>
      </c>
      <c r="F143" s="47">
        <v>45714.0</v>
      </c>
      <c r="G143" s="46" t="s">
        <v>2567</v>
      </c>
      <c r="H143" s="48" t="s">
        <v>2568</v>
      </c>
    </row>
    <row r="144" ht="15.75" customHeight="1">
      <c r="A144" s="45" t="s">
        <v>1224</v>
      </c>
      <c r="B144" s="46" t="s">
        <v>2569</v>
      </c>
      <c r="C144" s="46" t="s">
        <v>2570</v>
      </c>
      <c r="D144" s="46" t="s">
        <v>1010</v>
      </c>
      <c r="E144" s="46" t="s">
        <v>2571</v>
      </c>
      <c r="F144" s="47">
        <v>45803.0</v>
      </c>
      <c r="G144" s="46" t="s">
        <v>2572</v>
      </c>
      <c r="H144" s="48" t="s">
        <v>2573</v>
      </c>
    </row>
    <row r="145" ht="15.75" customHeight="1">
      <c r="A145" s="45" t="s">
        <v>999</v>
      </c>
      <c r="B145" s="46" t="s">
        <v>2467</v>
      </c>
      <c r="C145" s="46" t="s">
        <v>2148</v>
      </c>
      <c r="D145" s="46" t="s">
        <v>1010</v>
      </c>
      <c r="E145" s="46" t="s">
        <v>2574</v>
      </c>
      <c r="F145" s="47">
        <v>45469.0</v>
      </c>
      <c r="G145" s="46" t="s">
        <v>2575</v>
      </c>
      <c r="H145" s="48" t="s">
        <v>2576</v>
      </c>
    </row>
    <row r="146" ht="15.75" customHeight="1">
      <c r="A146" s="45" t="s">
        <v>1074</v>
      </c>
      <c r="B146" s="46" t="s">
        <v>1717</v>
      </c>
      <c r="C146" s="46" t="s">
        <v>1718</v>
      </c>
      <c r="D146" s="46" t="s">
        <v>1010</v>
      </c>
      <c r="E146" s="52">
        <v>45505.0</v>
      </c>
      <c r="F146" s="47">
        <v>45499.0</v>
      </c>
      <c r="G146" s="46" t="s">
        <v>2577</v>
      </c>
      <c r="H146" s="48" t="s">
        <v>2578</v>
      </c>
    </row>
    <row r="147" ht="15.75" customHeight="1">
      <c r="A147" s="45" t="s">
        <v>1224</v>
      </c>
      <c r="B147" s="46" t="s">
        <v>1827</v>
      </c>
      <c r="C147" s="46" t="s">
        <v>1828</v>
      </c>
      <c r="D147" s="46" t="s">
        <v>1010</v>
      </c>
      <c r="E147" s="50">
        <v>45597.0</v>
      </c>
      <c r="F147" s="47">
        <v>45530.0</v>
      </c>
      <c r="G147" s="46" t="s">
        <v>2579</v>
      </c>
      <c r="H147" s="48" t="s">
        <v>2580</v>
      </c>
    </row>
    <row r="148" ht="15.75" customHeight="1">
      <c r="A148" s="45" t="s">
        <v>2447</v>
      </c>
      <c r="B148" s="46" t="s">
        <v>2302</v>
      </c>
      <c r="C148" s="46" t="s">
        <v>2581</v>
      </c>
      <c r="D148" s="46" t="s">
        <v>1010</v>
      </c>
      <c r="E148" s="46" t="s">
        <v>2582</v>
      </c>
      <c r="F148" s="53">
        <v>45225.0</v>
      </c>
      <c r="G148" s="46" t="s">
        <v>2583</v>
      </c>
      <c r="H148" s="48" t="s">
        <v>2584</v>
      </c>
    </row>
    <row r="149" ht="15.75" customHeight="1">
      <c r="A149" s="45" t="s">
        <v>1074</v>
      </c>
      <c r="B149" s="46" t="s">
        <v>2585</v>
      </c>
      <c r="C149" s="46" t="s">
        <v>2586</v>
      </c>
      <c r="D149" s="46" t="s">
        <v>1010</v>
      </c>
      <c r="E149" s="50">
        <v>43831.0</v>
      </c>
      <c r="F149" s="47">
        <v>44223.0</v>
      </c>
      <c r="G149" s="46" t="s">
        <v>2587</v>
      </c>
      <c r="H149" s="48" t="s">
        <v>2588</v>
      </c>
    </row>
    <row r="150" ht="15.75" customHeight="1">
      <c r="A150" s="45" t="s">
        <v>1074</v>
      </c>
      <c r="B150" s="46" t="s">
        <v>2117</v>
      </c>
      <c r="C150" s="46" t="s">
        <v>2119</v>
      </c>
      <c r="D150" s="46" t="s">
        <v>1010</v>
      </c>
      <c r="E150" s="50">
        <v>45689.0</v>
      </c>
      <c r="F150" s="47">
        <v>45835.0</v>
      </c>
      <c r="G150" s="46" t="s">
        <v>2589</v>
      </c>
      <c r="H150" s="48" t="s">
        <v>2590</v>
      </c>
    </row>
    <row r="151" ht="15.75" customHeight="1">
      <c r="A151" s="45" t="s">
        <v>1074</v>
      </c>
      <c r="B151" s="46" t="s">
        <v>2117</v>
      </c>
      <c r="C151" s="46" t="s">
        <v>2119</v>
      </c>
      <c r="D151" s="46" t="s">
        <v>1010</v>
      </c>
      <c r="E151" s="50">
        <v>45658.0</v>
      </c>
      <c r="F151" s="47">
        <v>45835.0</v>
      </c>
      <c r="G151" s="46" t="s">
        <v>2591</v>
      </c>
      <c r="H151" s="48" t="s">
        <v>2592</v>
      </c>
    </row>
    <row r="152" ht="15.75" customHeight="1">
      <c r="A152" s="45" t="s">
        <v>1074</v>
      </c>
      <c r="B152" s="46" t="s">
        <v>2117</v>
      </c>
      <c r="C152" s="46" t="s">
        <v>2119</v>
      </c>
      <c r="D152" s="46" t="s">
        <v>1010</v>
      </c>
      <c r="E152" s="50">
        <v>45717.0</v>
      </c>
      <c r="F152" s="47">
        <v>45835.0</v>
      </c>
      <c r="G152" s="46" t="s">
        <v>2593</v>
      </c>
      <c r="H152" s="48" t="s">
        <v>2594</v>
      </c>
    </row>
    <row r="153" ht="15.75" customHeight="1">
      <c r="A153" s="45" t="s">
        <v>1074</v>
      </c>
      <c r="B153" s="46" t="s">
        <v>1248</v>
      </c>
      <c r="C153" s="46" t="s">
        <v>1249</v>
      </c>
      <c r="D153" s="46" t="s">
        <v>1010</v>
      </c>
      <c r="E153" s="50">
        <v>45566.0</v>
      </c>
      <c r="F153" s="53">
        <v>45623.0</v>
      </c>
      <c r="G153" s="46" t="s">
        <v>2595</v>
      </c>
      <c r="H153" s="48" t="s">
        <v>2596</v>
      </c>
    </row>
    <row r="154" ht="15.75" customHeight="1">
      <c r="A154" s="45" t="s">
        <v>1074</v>
      </c>
      <c r="B154" s="46" t="s">
        <v>2117</v>
      </c>
      <c r="C154" s="46" t="s">
        <v>2119</v>
      </c>
      <c r="D154" s="46" t="s">
        <v>1010</v>
      </c>
      <c r="E154" s="52">
        <v>44986.0</v>
      </c>
      <c r="F154" s="47">
        <v>45135.0</v>
      </c>
      <c r="G154" s="46" t="s">
        <v>2597</v>
      </c>
      <c r="H154" s="48" t="s">
        <v>2598</v>
      </c>
    </row>
    <row r="155" ht="15.75" customHeight="1">
      <c r="A155" s="45" t="s">
        <v>1074</v>
      </c>
      <c r="B155" s="46" t="s">
        <v>2117</v>
      </c>
      <c r="C155" s="46" t="s">
        <v>2119</v>
      </c>
      <c r="D155" s="46" t="s">
        <v>1010</v>
      </c>
      <c r="E155" s="46" t="s">
        <v>2599</v>
      </c>
      <c r="F155" s="47">
        <v>45135.0</v>
      </c>
      <c r="G155" s="46" t="s">
        <v>2600</v>
      </c>
      <c r="H155" s="48" t="s">
        <v>2601</v>
      </c>
    </row>
    <row r="156" ht="15.75" customHeight="1">
      <c r="A156" s="45" t="s">
        <v>1074</v>
      </c>
      <c r="B156" s="46" t="s">
        <v>2117</v>
      </c>
      <c r="C156" s="46" t="s">
        <v>2119</v>
      </c>
      <c r="D156" s="46" t="s">
        <v>1010</v>
      </c>
      <c r="E156" s="46" t="s">
        <v>2602</v>
      </c>
      <c r="F156" s="47">
        <v>45135.0</v>
      </c>
      <c r="G156" s="46" t="s">
        <v>2603</v>
      </c>
      <c r="H156" s="48" t="s">
        <v>2604</v>
      </c>
    </row>
    <row r="157" ht="15.75" customHeight="1">
      <c r="A157" s="45" t="s">
        <v>1074</v>
      </c>
      <c r="B157" s="46" t="s">
        <v>1225</v>
      </c>
      <c r="C157" s="46" t="s">
        <v>2489</v>
      </c>
      <c r="D157" s="46" t="s">
        <v>1010</v>
      </c>
      <c r="E157" s="46" t="s">
        <v>2605</v>
      </c>
      <c r="F157" s="53">
        <v>45593.0</v>
      </c>
      <c r="G157" s="46" t="s">
        <v>2606</v>
      </c>
      <c r="H157" s="48" t="s">
        <v>2607</v>
      </c>
    </row>
    <row r="158" ht="15.75" customHeight="1">
      <c r="A158" s="45" t="s">
        <v>1074</v>
      </c>
      <c r="B158" s="46" t="s">
        <v>1225</v>
      </c>
      <c r="C158" s="46" t="s">
        <v>2489</v>
      </c>
      <c r="D158" s="46" t="s">
        <v>1010</v>
      </c>
      <c r="E158" s="46" t="s">
        <v>2608</v>
      </c>
      <c r="F158" s="53">
        <v>45593.0</v>
      </c>
      <c r="G158" s="46" t="s">
        <v>2609</v>
      </c>
      <c r="H158" s="48" t="s">
        <v>2610</v>
      </c>
    </row>
    <row r="159" ht="15.75" customHeight="1">
      <c r="A159" s="45" t="s">
        <v>1074</v>
      </c>
      <c r="B159" s="46" t="s">
        <v>1191</v>
      </c>
      <c r="C159" s="46" t="s">
        <v>1192</v>
      </c>
      <c r="D159" s="46" t="s">
        <v>1010</v>
      </c>
      <c r="E159" s="52">
        <v>45748.0</v>
      </c>
      <c r="F159" s="47">
        <v>45686.0</v>
      </c>
      <c r="G159" s="46" t="s">
        <v>2611</v>
      </c>
      <c r="H159" s="48" t="s">
        <v>2612</v>
      </c>
    </row>
    <row r="160" ht="15.75" customHeight="1">
      <c r="A160" s="45" t="s">
        <v>1074</v>
      </c>
      <c r="B160" s="46" t="s">
        <v>1191</v>
      </c>
      <c r="C160" s="46" t="s">
        <v>1192</v>
      </c>
      <c r="D160" s="46" t="s">
        <v>1010</v>
      </c>
      <c r="E160" s="52">
        <v>45689.0</v>
      </c>
      <c r="F160" s="47">
        <v>45686.0</v>
      </c>
      <c r="G160" s="46" t="s">
        <v>2613</v>
      </c>
      <c r="H160" s="48" t="s">
        <v>2614</v>
      </c>
    </row>
    <row r="161" ht="15.75" customHeight="1">
      <c r="A161" s="45" t="s">
        <v>1074</v>
      </c>
      <c r="B161" s="46" t="s">
        <v>1191</v>
      </c>
      <c r="C161" s="46" t="s">
        <v>1192</v>
      </c>
      <c r="D161" s="46" t="s">
        <v>1010</v>
      </c>
      <c r="E161" s="52">
        <v>45717.0</v>
      </c>
      <c r="F161" s="47">
        <v>45686.0</v>
      </c>
      <c r="G161" s="46" t="s">
        <v>2342</v>
      </c>
      <c r="H161" s="48" t="s">
        <v>2615</v>
      </c>
    </row>
    <row r="162" ht="15.75" customHeight="1">
      <c r="A162" s="45" t="s">
        <v>1074</v>
      </c>
      <c r="B162" s="46" t="s">
        <v>1191</v>
      </c>
      <c r="C162" s="46" t="s">
        <v>1192</v>
      </c>
      <c r="D162" s="46" t="s">
        <v>1010</v>
      </c>
      <c r="E162" s="52">
        <v>45658.0</v>
      </c>
      <c r="F162" s="47">
        <v>45686.0</v>
      </c>
      <c r="G162" s="46" t="s">
        <v>2616</v>
      </c>
      <c r="H162" s="48" t="s">
        <v>2617</v>
      </c>
    </row>
    <row r="163" ht="15.75" customHeight="1">
      <c r="A163" s="45" t="s">
        <v>2618</v>
      </c>
      <c r="B163" s="46" t="s">
        <v>1225</v>
      </c>
      <c r="C163" s="46" t="s">
        <v>2619</v>
      </c>
      <c r="D163" s="46" t="s">
        <v>1010</v>
      </c>
      <c r="E163" s="46" t="s">
        <v>2620</v>
      </c>
      <c r="F163" s="47">
        <v>44284.0</v>
      </c>
      <c r="G163" s="46" t="s">
        <v>2621</v>
      </c>
      <c r="H163" s="48" t="s">
        <v>2622</v>
      </c>
    </row>
    <row r="164" ht="15.75" customHeight="1">
      <c r="A164" s="45" t="s">
        <v>1224</v>
      </c>
      <c r="B164" s="46" t="s">
        <v>1542</v>
      </c>
      <c r="C164" s="46" t="s">
        <v>2294</v>
      </c>
      <c r="D164" s="46" t="s">
        <v>1010</v>
      </c>
      <c r="E164" s="52">
        <v>45292.0</v>
      </c>
      <c r="F164" s="47">
        <v>45411.0</v>
      </c>
      <c r="G164" s="46" t="s">
        <v>2623</v>
      </c>
      <c r="H164" s="48" t="s">
        <v>2624</v>
      </c>
    </row>
    <row r="165" ht="15.75" customHeight="1">
      <c r="A165" s="45" t="s">
        <v>1074</v>
      </c>
      <c r="B165" s="46" t="s">
        <v>1248</v>
      </c>
      <c r="C165" s="46" t="s">
        <v>1249</v>
      </c>
      <c r="D165" s="46" t="s">
        <v>1010</v>
      </c>
      <c r="E165" s="46" t="s">
        <v>2625</v>
      </c>
      <c r="F165" s="47">
        <v>45776.0</v>
      </c>
      <c r="G165" s="46" t="s">
        <v>2626</v>
      </c>
      <c r="H165" s="48" t="s">
        <v>2627</v>
      </c>
    </row>
    <row r="166" ht="15.75" customHeight="1">
      <c r="A166" s="45" t="s">
        <v>1074</v>
      </c>
      <c r="B166" s="46" t="s">
        <v>2089</v>
      </c>
      <c r="C166" s="46" t="s">
        <v>2091</v>
      </c>
      <c r="D166" s="46" t="s">
        <v>1010</v>
      </c>
      <c r="E166" s="46" t="s">
        <v>2628</v>
      </c>
      <c r="F166" s="47">
        <v>44771.0</v>
      </c>
      <c r="G166" s="46" t="s">
        <v>2629</v>
      </c>
      <c r="H166" s="48" t="s">
        <v>2630</v>
      </c>
    </row>
    <row r="167" ht="15.75" customHeight="1">
      <c r="A167" s="45" t="s">
        <v>999</v>
      </c>
      <c r="B167" s="46" t="s">
        <v>1290</v>
      </c>
      <c r="C167" s="46" t="s">
        <v>1008</v>
      </c>
      <c r="D167" s="46" t="s">
        <v>1010</v>
      </c>
      <c r="E167" s="46" t="s">
        <v>2631</v>
      </c>
      <c r="F167" s="47">
        <v>45502.0</v>
      </c>
      <c r="G167" s="46" t="s">
        <v>2632</v>
      </c>
      <c r="H167" s="48" t="s">
        <v>2633</v>
      </c>
    </row>
    <row r="168" ht="15.75" customHeight="1">
      <c r="A168" s="45" t="s">
        <v>999</v>
      </c>
      <c r="B168" s="46" t="s">
        <v>1003</v>
      </c>
      <c r="C168" s="46" t="s">
        <v>1008</v>
      </c>
      <c r="D168" s="46" t="s">
        <v>1010</v>
      </c>
      <c r="E168" s="46">
        <v>3.0</v>
      </c>
      <c r="F168" s="47">
        <v>45502.0</v>
      </c>
      <c r="G168" s="46" t="s">
        <v>2634</v>
      </c>
      <c r="H168" s="48" t="s">
        <v>2635</v>
      </c>
    </row>
    <row r="169" ht="15.75" customHeight="1">
      <c r="A169" s="45" t="s">
        <v>1074</v>
      </c>
      <c r="B169" s="46" t="s">
        <v>1407</v>
      </c>
      <c r="C169" s="46" t="s">
        <v>1408</v>
      </c>
      <c r="D169" s="46" t="s">
        <v>1010</v>
      </c>
      <c r="E169" s="52">
        <v>44743.0</v>
      </c>
      <c r="F169" s="47">
        <v>44802.0</v>
      </c>
      <c r="G169" s="46" t="s">
        <v>2636</v>
      </c>
      <c r="H169" s="48" t="s">
        <v>2637</v>
      </c>
    </row>
    <row r="170" ht="15.75" customHeight="1">
      <c r="A170" s="45" t="s">
        <v>1074</v>
      </c>
      <c r="B170" s="46" t="s">
        <v>1407</v>
      </c>
      <c r="C170" s="46" t="s">
        <v>1408</v>
      </c>
      <c r="D170" s="46" t="s">
        <v>1010</v>
      </c>
      <c r="E170" s="52">
        <v>44713.0</v>
      </c>
      <c r="F170" s="47">
        <v>44802.0</v>
      </c>
      <c r="G170" s="46" t="s">
        <v>2638</v>
      </c>
      <c r="H170" s="48" t="s">
        <v>2639</v>
      </c>
    </row>
    <row r="171" ht="15.75" customHeight="1">
      <c r="A171" s="45" t="s">
        <v>1074</v>
      </c>
      <c r="B171" s="46" t="s">
        <v>1407</v>
      </c>
      <c r="C171" s="46" t="s">
        <v>1408</v>
      </c>
      <c r="D171" s="46" t="s">
        <v>1010</v>
      </c>
      <c r="E171" s="52">
        <v>44713.0</v>
      </c>
      <c r="F171" s="47">
        <v>44802.0</v>
      </c>
      <c r="G171" s="46" t="s">
        <v>2638</v>
      </c>
      <c r="H171" s="48" t="s">
        <v>2640</v>
      </c>
    </row>
    <row r="172" ht="15.75" customHeight="1">
      <c r="A172" s="45" t="s">
        <v>1074</v>
      </c>
      <c r="B172" s="46" t="s">
        <v>1407</v>
      </c>
      <c r="C172" s="46" t="s">
        <v>1408</v>
      </c>
      <c r="D172" s="46" t="s">
        <v>1010</v>
      </c>
      <c r="E172" s="52">
        <v>44774.0</v>
      </c>
      <c r="F172" s="47">
        <v>44802.0</v>
      </c>
      <c r="G172" s="46" t="s">
        <v>2641</v>
      </c>
      <c r="H172" s="48" t="s">
        <v>2642</v>
      </c>
    </row>
    <row r="173" ht="15.75" customHeight="1">
      <c r="A173" s="45" t="s">
        <v>1224</v>
      </c>
      <c r="B173" s="46" t="s">
        <v>1003</v>
      </c>
      <c r="C173" s="46" t="s">
        <v>2643</v>
      </c>
      <c r="D173" s="46" t="s">
        <v>1010</v>
      </c>
      <c r="E173" s="46">
        <v>14.0</v>
      </c>
      <c r="F173" s="53">
        <v>45625.0</v>
      </c>
      <c r="G173" s="46" t="s">
        <v>2644</v>
      </c>
      <c r="H173" s="48" t="s">
        <v>2645</v>
      </c>
    </row>
    <row r="174" ht="15.75" customHeight="1">
      <c r="A174" s="45" t="s">
        <v>1074</v>
      </c>
      <c r="B174" s="46" t="s">
        <v>1248</v>
      </c>
      <c r="C174" s="46" t="s">
        <v>1249</v>
      </c>
      <c r="D174" s="46" t="s">
        <v>1010</v>
      </c>
      <c r="E174" s="50">
        <v>45992.0</v>
      </c>
      <c r="F174" s="47">
        <v>45687.0</v>
      </c>
      <c r="G174" s="46" t="s">
        <v>2646</v>
      </c>
      <c r="H174" s="48" t="s">
        <v>2647</v>
      </c>
    </row>
    <row r="175" ht="15.75" customHeight="1">
      <c r="A175" s="45" t="s">
        <v>1074</v>
      </c>
      <c r="B175" s="46" t="s">
        <v>2308</v>
      </c>
      <c r="C175" s="46" t="s">
        <v>2309</v>
      </c>
      <c r="D175" s="46" t="s">
        <v>1010</v>
      </c>
      <c r="E175" s="46" t="s">
        <v>2648</v>
      </c>
      <c r="F175" s="47">
        <v>45076.0</v>
      </c>
      <c r="G175" s="46" t="s">
        <v>2649</v>
      </c>
      <c r="H175" s="48" t="s">
        <v>2650</v>
      </c>
    </row>
    <row r="176" ht="15.75" customHeight="1">
      <c r="A176" s="45" t="s">
        <v>1074</v>
      </c>
      <c r="B176" s="46" t="s">
        <v>2308</v>
      </c>
      <c r="C176" s="46" t="s">
        <v>2309</v>
      </c>
      <c r="D176" s="46" t="s">
        <v>1010</v>
      </c>
      <c r="E176" s="50">
        <v>44958.0</v>
      </c>
      <c r="F176" s="47">
        <v>45076.0</v>
      </c>
      <c r="G176" s="46" t="s">
        <v>2651</v>
      </c>
      <c r="H176" s="48" t="s">
        <v>2652</v>
      </c>
    </row>
    <row r="177" ht="15.75" customHeight="1">
      <c r="A177" s="45" t="s">
        <v>1074</v>
      </c>
      <c r="B177" s="46" t="s">
        <v>2531</v>
      </c>
      <c r="C177" s="46" t="s">
        <v>2532</v>
      </c>
      <c r="D177" s="46" t="s">
        <v>1010</v>
      </c>
      <c r="E177" s="46" t="s">
        <v>2653</v>
      </c>
      <c r="F177" s="47">
        <v>45107.0</v>
      </c>
      <c r="G177" s="46" t="s">
        <v>2654</v>
      </c>
      <c r="H177" s="48" t="s">
        <v>2655</v>
      </c>
    </row>
    <row r="178" ht="15.75" customHeight="1">
      <c r="A178" s="45" t="s">
        <v>1074</v>
      </c>
      <c r="B178" s="46" t="s">
        <v>1173</v>
      </c>
      <c r="C178" s="46" t="s">
        <v>2267</v>
      </c>
      <c r="D178" s="46" t="s">
        <v>1010</v>
      </c>
      <c r="E178" s="50">
        <v>45200.0</v>
      </c>
      <c r="F178" s="53">
        <v>45229.0</v>
      </c>
      <c r="G178" s="46" t="s">
        <v>2656</v>
      </c>
      <c r="H178" s="48" t="s">
        <v>2657</v>
      </c>
    </row>
    <row r="179" ht="15.75" customHeight="1">
      <c r="A179" s="45" t="s">
        <v>2658</v>
      </c>
      <c r="B179" s="46" t="s">
        <v>1542</v>
      </c>
      <c r="C179" s="46" t="s">
        <v>2659</v>
      </c>
      <c r="D179" s="46" t="s">
        <v>1010</v>
      </c>
      <c r="E179" s="46">
        <v>0.0</v>
      </c>
      <c r="F179" s="53">
        <v>45626.0</v>
      </c>
      <c r="G179" s="46" t="s">
        <v>2660</v>
      </c>
      <c r="H179" s="48" t="s">
        <v>2661</v>
      </c>
    </row>
    <row r="180" ht="15.75" customHeight="1">
      <c r="A180" s="45" t="s">
        <v>1074</v>
      </c>
      <c r="B180" s="46" t="s">
        <v>1450</v>
      </c>
      <c r="C180" s="46" t="s">
        <v>1451</v>
      </c>
      <c r="D180" s="46" t="s">
        <v>1010</v>
      </c>
      <c r="E180" s="46">
        <v>1.0</v>
      </c>
      <c r="F180" s="47">
        <v>44439.0</v>
      </c>
      <c r="G180" s="46" t="s">
        <v>2662</v>
      </c>
      <c r="H180" s="48" t="s">
        <v>2663</v>
      </c>
    </row>
    <row r="181" ht="15.75" customHeight="1">
      <c r="A181" s="45" t="s">
        <v>1074</v>
      </c>
      <c r="B181" s="46" t="s">
        <v>1450</v>
      </c>
      <c r="C181" s="46" t="s">
        <v>1451</v>
      </c>
      <c r="D181" s="46" t="s">
        <v>1010</v>
      </c>
      <c r="E181" s="46">
        <v>2.0</v>
      </c>
      <c r="F181" s="47">
        <v>44439.0</v>
      </c>
      <c r="G181" s="46" t="s">
        <v>2664</v>
      </c>
      <c r="H181" s="48" t="s">
        <v>2665</v>
      </c>
    </row>
    <row r="182" ht="15.75" customHeight="1">
      <c r="A182" s="45" t="s">
        <v>1074</v>
      </c>
      <c r="B182" s="46" t="s">
        <v>1450</v>
      </c>
      <c r="C182" s="46" t="s">
        <v>1451</v>
      </c>
      <c r="D182" s="46" t="s">
        <v>1010</v>
      </c>
      <c r="E182" s="50">
        <v>44256.0</v>
      </c>
      <c r="F182" s="47">
        <v>44439.0</v>
      </c>
      <c r="G182" s="46" t="s">
        <v>2666</v>
      </c>
      <c r="H182" s="48" t="s">
        <v>2667</v>
      </c>
    </row>
    <row r="183" ht="15.75" customHeight="1">
      <c r="A183" s="45" t="s">
        <v>1074</v>
      </c>
      <c r="B183" s="46" t="s">
        <v>1191</v>
      </c>
      <c r="C183" s="46" t="s">
        <v>1192</v>
      </c>
      <c r="D183" s="46" t="s">
        <v>1010</v>
      </c>
      <c r="E183" s="52">
        <v>45383.0</v>
      </c>
      <c r="F183" s="47">
        <v>45535.0</v>
      </c>
      <c r="G183" s="46" t="s">
        <v>2668</v>
      </c>
      <c r="H183" s="48" t="s">
        <v>2669</v>
      </c>
    </row>
    <row r="184" ht="15.75" customHeight="1">
      <c r="G184" s="9"/>
      <c r="H184" s="9"/>
    </row>
    <row r="185" ht="15.75" customHeight="1">
      <c r="G185" s="9"/>
      <c r="H185" s="9"/>
    </row>
    <row r="186" ht="15.75" customHeight="1">
      <c r="G186" s="9"/>
      <c r="H186" s="9"/>
    </row>
    <row r="187" ht="15.75" customHeight="1">
      <c r="G187" s="9"/>
      <c r="H187" s="9"/>
    </row>
    <row r="188" ht="15.75" customHeight="1">
      <c r="G188" s="9"/>
      <c r="H188" s="9"/>
    </row>
    <row r="189" ht="15.75" customHeight="1">
      <c r="G189" s="9"/>
      <c r="H189" s="9"/>
    </row>
    <row r="190" ht="15.75" customHeight="1">
      <c r="G190" s="9"/>
      <c r="H190" s="9"/>
    </row>
    <row r="191" ht="15.75" customHeight="1">
      <c r="G191" s="9"/>
      <c r="H191" s="9"/>
    </row>
    <row r="192" ht="15.75" customHeight="1">
      <c r="G192" s="9"/>
      <c r="H192" s="9"/>
    </row>
    <row r="193" ht="15.75" customHeight="1">
      <c r="G193" s="9"/>
      <c r="H193" s="9"/>
    </row>
    <row r="194" ht="15.75" customHeight="1">
      <c r="G194" s="9"/>
      <c r="H194" s="9"/>
    </row>
    <row r="195" ht="15.75" customHeight="1">
      <c r="G195" s="9"/>
      <c r="H195" s="9"/>
    </row>
    <row r="196" ht="15.75" customHeight="1">
      <c r="G196" s="9"/>
      <c r="H196" s="9"/>
    </row>
    <row r="197" ht="15.75" customHeight="1">
      <c r="G197" s="9"/>
      <c r="H197" s="9"/>
    </row>
    <row r="198" ht="15.75" customHeight="1">
      <c r="G198" s="9"/>
      <c r="H198" s="9"/>
    </row>
    <row r="199" ht="15.75" customHeight="1">
      <c r="G199" s="9"/>
      <c r="H199" s="9"/>
    </row>
    <row r="200" ht="15.75" customHeight="1">
      <c r="G200" s="9"/>
      <c r="H200" s="9"/>
    </row>
    <row r="201" ht="15.75" customHeight="1">
      <c r="G201" s="9"/>
      <c r="H201" s="9"/>
    </row>
    <row r="202" ht="15.75" customHeight="1">
      <c r="G202" s="9"/>
      <c r="H202" s="9"/>
    </row>
    <row r="203" ht="15.75" customHeight="1">
      <c r="G203" s="9"/>
      <c r="H203" s="9"/>
    </row>
    <row r="204" ht="15.75" customHeight="1">
      <c r="G204" s="9"/>
      <c r="H204" s="9"/>
    </row>
    <row r="205" ht="15.75" customHeight="1">
      <c r="G205" s="9"/>
      <c r="H205" s="9"/>
    </row>
    <row r="206" ht="15.75" customHeight="1">
      <c r="G206" s="9"/>
      <c r="H206" s="9"/>
    </row>
    <row r="207" ht="15.75" customHeight="1">
      <c r="G207" s="9"/>
      <c r="H207" s="9"/>
    </row>
    <row r="208" ht="15.75" customHeight="1">
      <c r="G208" s="9"/>
      <c r="H208" s="9"/>
    </row>
    <row r="209" ht="15.75" customHeight="1">
      <c r="G209" s="9"/>
      <c r="H209" s="9"/>
    </row>
    <row r="210" ht="15.75" customHeight="1">
      <c r="G210" s="9"/>
      <c r="H210" s="9"/>
    </row>
    <row r="211" ht="15.75" customHeight="1">
      <c r="G211" s="9"/>
      <c r="H211" s="9"/>
    </row>
    <row r="212" ht="15.75" customHeight="1">
      <c r="G212" s="9"/>
      <c r="H212" s="9"/>
    </row>
    <row r="213" ht="15.75" customHeight="1">
      <c r="G213" s="9"/>
      <c r="H213" s="9"/>
    </row>
    <row r="214" ht="15.75" customHeight="1">
      <c r="G214" s="9"/>
      <c r="H214" s="9"/>
    </row>
    <row r="215" ht="15.75" customHeight="1">
      <c r="G215" s="9"/>
      <c r="H215" s="9"/>
    </row>
    <row r="216" ht="15.75" customHeight="1">
      <c r="G216" s="9"/>
      <c r="H216" s="9"/>
    </row>
    <row r="217" ht="15.75" customHeight="1">
      <c r="G217" s="9"/>
      <c r="H217" s="9"/>
    </row>
    <row r="218" ht="15.75" customHeight="1">
      <c r="G218" s="9"/>
      <c r="H218" s="9"/>
    </row>
    <row r="219" ht="15.75" customHeight="1">
      <c r="G219" s="9"/>
      <c r="H219" s="9"/>
    </row>
    <row r="220" ht="15.75" customHeight="1">
      <c r="G220" s="9"/>
      <c r="H220" s="9"/>
    </row>
    <row r="221" ht="15.75" customHeight="1">
      <c r="G221" s="9"/>
      <c r="H221" s="9"/>
    </row>
    <row r="222" ht="15.75" customHeight="1">
      <c r="G222" s="9"/>
      <c r="H222" s="9"/>
    </row>
    <row r="223" ht="15.75" customHeight="1">
      <c r="G223" s="9"/>
      <c r="H223" s="9"/>
    </row>
    <row r="224" ht="15.75" customHeight="1">
      <c r="G224" s="9"/>
      <c r="H224" s="9"/>
    </row>
    <row r="225" ht="15.75" customHeight="1">
      <c r="G225" s="9"/>
      <c r="H225" s="9"/>
    </row>
    <row r="226" ht="15.75" customHeight="1">
      <c r="G226" s="9"/>
      <c r="H226" s="9"/>
    </row>
    <row r="227" ht="15.75" customHeight="1">
      <c r="G227" s="9"/>
      <c r="H227" s="9"/>
    </row>
    <row r="228" ht="15.75" customHeight="1">
      <c r="G228" s="9"/>
      <c r="H228" s="9"/>
    </row>
    <row r="229" ht="15.75" customHeight="1">
      <c r="G229" s="9"/>
      <c r="H229" s="9"/>
    </row>
    <row r="230" ht="15.75" customHeight="1">
      <c r="G230" s="9"/>
      <c r="H230" s="9"/>
    </row>
    <row r="231" ht="15.75" customHeight="1">
      <c r="G231" s="9"/>
      <c r="H231" s="9"/>
    </row>
    <row r="232" ht="15.75" customHeight="1">
      <c r="G232" s="9"/>
      <c r="H232" s="9"/>
    </row>
    <row r="233" ht="15.75" customHeight="1">
      <c r="G233" s="9"/>
      <c r="H233" s="9"/>
    </row>
    <row r="234" ht="15.75" customHeight="1">
      <c r="G234" s="9"/>
      <c r="H234" s="9"/>
    </row>
    <row r="235" ht="15.75" customHeight="1">
      <c r="G235" s="9"/>
      <c r="H235" s="9"/>
    </row>
    <row r="236" ht="15.75" customHeight="1">
      <c r="G236" s="9"/>
      <c r="H236" s="9"/>
    </row>
    <row r="237" ht="15.75" customHeight="1">
      <c r="G237" s="9"/>
      <c r="H237" s="9"/>
    </row>
    <row r="238" ht="15.75" customHeight="1">
      <c r="G238" s="9"/>
      <c r="H238" s="9"/>
    </row>
    <row r="239" ht="15.75" customHeight="1">
      <c r="G239" s="9"/>
      <c r="H239" s="9"/>
    </row>
    <row r="240" ht="15.75" customHeight="1">
      <c r="G240" s="9"/>
      <c r="H240" s="9"/>
    </row>
    <row r="241" ht="15.75" customHeight="1">
      <c r="G241" s="9"/>
      <c r="H241" s="9"/>
    </row>
    <row r="242" ht="15.75" customHeight="1">
      <c r="G242" s="9"/>
      <c r="H242" s="9"/>
    </row>
    <row r="243" ht="15.75" customHeight="1">
      <c r="G243" s="9"/>
      <c r="H243" s="9"/>
    </row>
    <row r="244" ht="15.75" customHeight="1">
      <c r="G244" s="9"/>
      <c r="H244" s="9"/>
    </row>
    <row r="245" ht="15.75" customHeight="1">
      <c r="G245" s="9"/>
      <c r="H245" s="9"/>
    </row>
    <row r="246" ht="15.75" customHeight="1">
      <c r="G246" s="9"/>
      <c r="H246" s="9"/>
    </row>
    <row r="247" ht="15.75" customHeight="1">
      <c r="G247" s="9"/>
      <c r="H247" s="9"/>
    </row>
    <row r="248" ht="15.75" customHeight="1">
      <c r="G248" s="9"/>
      <c r="H248" s="9"/>
    </row>
    <row r="249" ht="15.75" customHeight="1">
      <c r="G249" s="9"/>
      <c r="H249" s="9"/>
    </row>
    <row r="250" ht="15.75" customHeight="1">
      <c r="G250" s="9"/>
      <c r="H250" s="9"/>
    </row>
    <row r="251" ht="15.75" customHeight="1">
      <c r="G251" s="9"/>
      <c r="H251" s="9"/>
    </row>
    <row r="252" ht="15.75" customHeight="1">
      <c r="G252" s="9"/>
      <c r="H252" s="9"/>
    </row>
    <row r="253" ht="15.75" customHeight="1">
      <c r="G253" s="9"/>
      <c r="H253" s="9"/>
    </row>
    <row r="254" ht="15.75" customHeight="1">
      <c r="G254" s="9"/>
      <c r="H254" s="9"/>
    </row>
    <row r="255" ht="15.75" customHeight="1">
      <c r="G255" s="9"/>
      <c r="H255" s="9"/>
    </row>
    <row r="256" ht="15.75" customHeight="1">
      <c r="G256" s="9"/>
      <c r="H256" s="9"/>
    </row>
    <row r="257" ht="15.75" customHeight="1">
      <c r="G257" s="9"/>
      <c r="H257" s="9"/>
    </row>
    <row r="258" ht="15.75" customHeight="1">
      <c r="G258" s="9"/>
      <c r="H258" s="9"/>
    </row>
    <row r="259" ht="15.75" customHeight="1">
      <c r="G259" s="9"/>
      <c r="H259" s="9"/>
    </row>
    <row r="260" ht="15.75" customHeight="1">
      <c r="G260" s="9"/>
      <c r="H260" s="9"/>
    </row>
    <row r="261" ht="15.75" customHeight="1">
      <c r="G261" s="9"/>
      <c r="H261" s="9"/>
    </row>
    <row r="262" ht="15.75" customHeight="1">
      <c r="G262" s="9"/>
      <c r="H262" s="9"/>
    </row>
    <row r="263" ht="15.75" customHeight="1">
      <c r="G263" s="9"/>
      <c r="H263" s="9"/>
    </row>
    <row r="264" ht="15.75" customHeight="1">
      <c r="G264" s="9"/>
      <c r="H264" s="9"/>
    </row>
    <row r="265" ht="15.75" customHeight="1">
      <c r="G265" s="9"/>
      <c r="H265" s="9"/>
    </row>
    <row r="266" ht="15.75" customHeight="1">
      <c r="G266" s="9"/>
      <c r="H266" s="9"/>
    </row>
    <row r="267" ht="15.75" customHeight="1">
      <c r="G267" s="9"/>
      <c r="H267" s="9"/>
    </row>
    <row r="268" ht="15.75" customHeight="1">
      <c r="G268" s="9"/>
      <c r="H268" s="9"/>
    </row>
    <row r="269" ht="15.75" customHeight="1">
      <c r="G269" s="9"/>
      <c r="H269" s="9"/>
    </row>
    <row r="270" ht="15.75" customHeight="1">
      <c r="G270" s="9"/>
      <c r="H270" s="9"/>
    </row>
    <row r="271" ht="15.75" customHeight="1">
      <c r="G271" s="9"/>
      <c r="H271" s="9"/>
    </row>
    <row r="272" ht="15.75" customHeight="1">
      <c r="G272" s="9"/>
      <c r="H272" s="9"/>
    </row>
    <row r="273" ht="15.75" customHeight="1">
      <c r="G273" s="9"/>
      <c r="H273" s="9"/>
    </row>
    <row r="274" ht="15.75" customHeight="1">
      <c r="G274" s="9"/>
      <c r="H274" s="9"/>
    </row>
    <row r="275" ht="15.75" customHeight="1">
      <c r="G275" s="9"/>
      <c r="H275" s="9"/>
    </row>
    <row r="276" ht="15.75" customHeight="1">
      <c r="G276" s="9"/>
      <c r="H276" s="9"/>
    </row>
    <row r="277" ht="15.75" customHeight="1">
      <c r="G277" s="9"/>
      <c r="H277" s="9"/>
    </row>
    <row r="278" ht="15.75" customHeight="1">
      <c r="G278" s="9"/>
      <c r="H278" s="9"/>
    </row>
    <row r="279" ht="15.75" customHeight="1">
      <c r="G279" s="9"/>
      <c r="H279" s="9"/>
    </row>
    <row r="280" ht="15.75" customHeight="1">
      <c r="G280" s="9"/>
      <c r="H280" s="9"/>
    </row>
    <row r="281" ht="15.75" customHeight="1">
      <c r="G281" s="9"/>
      <c r="H281" s="9"/>
    </row>
    <row r="282" ht="15.75" customHeight="1">
      <c r="G282" s="9"/>
      <c r="H282" s="9"/>
    </row>
    <row r="283" ht="15.75" customHeight="1">
      <c r="G283" s="9"/>
      <c r="H283" s="9"/>
    </row>
    <row r="284" ht="15.75" customHeight="1">
      <c r="G284" s="9"/>
      <c r="H284" s="9"/>
    </row>
    <row r="285" ht="15.75" customHeight="1">
      <c r="G285" s="9"/>
      <c r="H285" s="9"/>
    </row>
    <row r="286" ht="15.75" customHeight="1">
      <c r="G286" s="9"/>
      <c r="H286" s="9"/>
    </row>
    <row r="287" ht="15.75" customHeight="1">
      <c r="G287" s="9"/>
      <c r="H287" s="9"/>
    </row>
    <row r="288" ht="15.75" customHeight="1">
      <c r="G288" s="9"/>
      <c r="H288" s="9"/>
    </row>
    <row r="289" ht="15.75" customHeight="1">
      <c r="G289" s="9"/>
      <c r="H289" s="9"/>
    </row>
    <row r="290" ht="15.75" customHeight="1">
      <c r="G290" s="9"/>
      <c r="H290" s="9"/>
    </row>
    <row r="291" ht="15.75" customHeight="1">
      <c r="G291" s="9"/>
      <c r="H291" s="9"/>
    </row>
    <row r="292" ht="15.75" customHeight="1">
      <c r="G292" s="9"/>
      <c r="H292" s="9"/>
    </row>
    <row r="293" ht="15.75" customHeight="1">
      <c r="G293" s="9"/>
      <c r="H293" s="9"/>
    </row>
    <row r="294" ht="15.75" customHeight="1">
      <c r="G294" s="9"/>
      <c r="H294" s="9"/>
    </row>
    <row r="295" ht="15.75" customHeight="1">
      <c r="G295" s="9"/>
      <c r="H295" s="9"/>
    </row>
    <row r="296" ht="15.75" customHeight="1">
      <c r="G296" s="9"/>
      <c r="H296" s="9"/>
    </row>
    <row r="297" ht="15.75" customHeight="1">
      <c r="G297" s="9"/>
      <c r="H297" s="9"/>
    </row>
    <row r="298" ht="15.75" customHeight="1">
      <c r="G298" s="9"/>
      <c r="H298" s="9"/>
    </row>
    <row r="299" ht="15.75" customHeight="1">
      <c r="G299" s="9"/>
      <c r="H299" s="9"/>
    </row>
    <row r="300" ht="15.75" customHeight="1">
      <c r="G300" s="9"/>
      <c r="H300" s="9"/>
    </row>
    <row r="301" ht="15.75" customHeight="1">
      <c r="G301" s="9"/>
      <c r="H301" s="9"/>
    </row>
    <row r="302" ht="15.75" customHeight="1">
      <c r="G302" s="9"/>
      <c r="H302" s="9"/>
    </row>
    <row r="303" ht="15.75" customHeight="1">
      <c r="G303" s="9"/>
      <c r="H303" s="9"/>
    </row>
    <row r="304" ht="15.75" customHeight="1">
      <c r="G304" s="9"/>
      <c r="H304" s="9"/>
    </row>
    <row r="305" ht="15.75" customHeight="1">
      <c r="G305" s="9"/>
      <c r="H305" s="9"/>
    </row>
    <row r="306" ht="15.75" customHeight="1">
      <c r="G306" s="9"/>
      <c r="H306" s="9"/>
    </row>
    <row r="307" ht="15.75" customHeight="1">
      <c r="G307" s="9"/>
      <c r="H307" s="9"/>
    </row>
    <row r="308" ht="15.75" customHeight="1">
      <c r="G308" s="9"/>
      <c r="H308" s="9"/>
    </row>
    <row r="309" ht="15.75" customHeight="1">
      <c r="G309" s="9"/>
      <c r="H309" s="9"/>
    </row>
    <row r="310" ht="15.75" customHeight="1">
      <c r="G310" s="9"/>
      <c r="H310" s="9"/>
    </row>
    <row r="311" ht="15.75" customHeight="1">
      <c r="G311" s="9"/>
      <c r="H311" s="9"/>
    </row>
    <row r="312" ht="15.75" customHeight="1">
      <c r="G312" s="9"/>
      <c r="H312" s="9"/>
    </row>
    <row r="313" ht="15.75" customHeight="1">
      <c r="G313" s="9"/>
      <c r="H313" s="9"/>
    </row>
    <row r="314" ht="15.75" customHeight="1">
      <c r="G314" s="9"/>
      <c r="H314" s="9"/>
    </row>
    <row r="315" ht="15.75" customHeight="1">
      <c r="G315" s="9"/>
      <c r="H315" s="9"/>
    </row>
    <row r="316" ht="15.75" customHeight="1">
      <c r="G316" s="9"/>
      <c r="H316" s="9"/>
    </row>
    <row r="317" ht="15.75" customHeight="1">
      <c r="G317" s="9"/>
      <c r="H317" s="9"/>
    </row>
    <row r="318" ht="15.75" customHeight="1">
      <c r="G318" s="9"/>
      <c r="H318" s="9"/>
    </row>
    <row r="319" ht="15.75" customHeight="1">
      <c r="G319" s="9"/>
      <c r="H319" s="9"/>
    </row>
    <row r="320" ht="15.75" customHeight="1">
      <c r="G320" s="9"/>
      <c r="H320" s="9"/>
    </row>
    <row r="321" ht="15.75" customHeight="1">
      <c r="G321" s="9"/>
      <c r="H321" s="9"/>
    </row>
    <row r="322" ht="15.75" customHeight="1">
      <c r="G322" s="9"/>
      <c r="H322" s="9"/>
    </row>
    <row r="323" ht="15.75" customHeight="1">
      <c r="G323" s="9"/>
      <c r="H323" s="9"/>
    </row>
    <row r="324" ht="15.75" customHeight="1">
      <c r="G324" s="9"/>
      <c r="H324" s="9"/>
    </row>
    <row r="325" ht="15.75" customHeight="1">
      <c r="G325" s="9"/>
      <c r="H325" s="9"/>
    </row>
    <row r="326" ht="15.75" customHeight="1">
      <c r="G326" s="9"/>
      <c r="H326" s="9"/>
    </row>
    <row r="327" ht="15.75" customHeight="1">
      <c r="G327" s="9"/>
      <c r="H327" s="9"/>
    </row>
    <row r="328" ht="15.75" customHeight="1">
      <c r="G328" s="9"/>
      <c r="H328" s="9"/>
    </row>
    <row r="329" ht="15.75" customHeight="1">
      <c r="G329" s="9"/>
      <c r="H329" s="9"/>
    </row>
    <row r="330" ht="15.75" customHeight="1">
      <c r="G330" s="9"/>
      <c r="H330" s="9"/>
    </row>
    <row r="331" ht="15.75" customHeight="1">
      <c r="G331" s="9"/>
      <c r="H331" s="9"/>
    </row>
    <row r="332" ht="15.75" customHeight="1">
      <c r="G332" s="9"/>
      <c r="H332" s="9"/>
    </row>
    <row r="333" ht="15.75" customHeight="1">
      <c r="G333" s="9"/>
      <c r="H333" s="9"/>
    </row>
    <row r="334" ht="15.75" customHeight="1">
      <c r="G334" s="9"/>
      <c r="H334" s="9"/>
    </row>
    <row r="335" ht="15.75" customHeight="1">
      <c r="G335" s="9"/>
      <c r="H335" s="9"/>
    </row>
    <row r="336" ht="15.75" customHeight="1">
      <c r="G336" s="9"/>
      <c r="H336" s="9"/>
    </row>
    <row r="337" ht="15.75" customHeight="1">
      <c r="G337" s="9"/>
      <c r="H337" s="9"/>
    </row>
    <row r="338" ht="15.75" customHeight="1">
      <c r="G338" s="9"/>
      <c r="H338" s="9"/>
    </row>
    <row r="339" ht="15.75" customHeight="1">
      <c r="G339" s="9"/>
      <c r="H339" s="9"/>
    </row>
    <row r="340" ht="15.75" customHeight="1">
      <c r="G340" s="9"/>
      <c r="H340" s="9"/>
    </row>
    <row r="341" ht="15.75" customHeight="1">
      <c r="G341" s="9"/>
      <c r="H341" s="9"/>
    </row>
    <row r="342" ht="15.75" customHeight="1">
      <c r="G342" s="9"/>
      <c r="H342" s="9"/>
    </row>
    <row r="343" ht="15.75" customHeight="1">
      <c r="G343" s="9"/>
      <c r="H343" s="9"/>
    </row>
    <row r="344" ht="15.75" customHeight="1">
      <c r="G344" s="9"/>
      <c r="H344" s="9"/>
    </row>
    <row r="345" ht="15.75" customHeight="1">
      <c r="G345" s="9"/>
      <c r="H345" s="9"/>
    </row>
    <row r="346" ht="15.75" customHeight="1">
      <c r="G346" s="9"/>
      <c r="H346" s="9"/>
    </row>
    <row r="347" ht="15.75" customHeight="1">
      <c r="G347" s="9"/>
      <c r="H347" s="9"/>
    </row>
    <row r="348" ht="15.75" customHeight="1">
      <c r="G348" s="9"/>
      <c r="H348" s="9"/>
    </row>
    <row r="349" ht="15.75" customHeight="1">
      <c r="G349" s="9"/>
      <c r="H349" s="9"/>
    </row>
    <row r="350" ht="15.75" customHeight="1">
      <c r="G350" s="9"/>
      <c r="H350" s="9"/>
    </row>
    <row r="351" ht="15.75" customHeight="1">
      <c r="G351" s="9"/>
      <c r="H351" s="9"/>
    </row>
    <row r="352" ht="15.75" customHeight="1">
      <c r="G352" s="9"/>
      <c r="H352" s="9"/>
    </row>
    <row r="353" ht="15.75" customHeight="1">
      <c r="G353" s="9"/>
      <c r="H353" s="9"/>
    </row>
    <row r="354" ht="15.75" customHeight="1">
      <c r="G354" s="9"/>
      <c r="H354" s="9"/>
    </row>
    <row r="355" ht="15.75" customHeight="1">
      <c r="G355" s="9"/>
      <c r="H355" s="9"/>
    </row>
    <row r="356" ht="15.75" customHeight="1">
      <c r="G356" s="9"/>
      <c r="H356" s="9"/>
    </row>
    <row r="357" ht="15.75" customHeight="1">
      <c r="G357" s="9"/>
      <c r="H357" s="9"/>
    </row>
    <row r="358" ht="15.75" customHeight="1">
      <c r="G358" s="9"/>
      <c r="H358" s="9"/>
    </row>
    <row r="359" ht="15.75" customHeight="1">
      <c r="G359" s="9"/>
      <c r="H359" s="9"/>
    </row>
    <row r="360" ht="15.75" customHeight="1">
      <c r="G360" s="9"/>
      <c r="H360" s="9"/>
    </row>
    <row r="361" ht="15.75" customHeight="1">
      <c r="G361" s="9"/>
      <c r="H361" s="9"/>
    </row>
    <row r="362" ht="15.75" customHeight="1">
      <c r="G362" s="9"/>
      <c r="H362" s="9"/>
    </row>
    <row r="363" ht="15.75" customHeight="1">
      <c r="G363" s="9"/>
      <c r="H363" s="9"/>
    </row>
    <row r="364" ht="15.75" customHeight="1">
      <c r="G364" s="9"/>
      <c r="H364" s="9"/>
    </row>
    <row r="365" ht="15.75" customHeight="1">
      <c r="G365" s="9"/>
      <c r="H365" s="9"/>
    </row>
    <row r="366" ht="15.75" customHeight="1">
      <c r="G366" s="9"/>
      <c r="H366" s="9"/>
    </row>
    <row r="367" ht="15.75" customHeight="1">
      <c r="G367" s="9"/>
      <c r="H367" s="9"/>
    </row>
    <row r="368" ht="15.75" customHeight="1">
      <c r="G368" s="9"/>
      <c r="H368" s="9"/>
    </row>
    <row r="369" ht="15.75" customHeight="1">
      <c r="G369" s="9"/>
      <c r="H369" s="9"/>
    </row>
    <row r="370" ht="15.75" customHeight="1">
      <c r="G370" s="9"/>
      <c r="H370" s="9"/>
    </row>
    <row r="371" ht="15.75" customHeight="1">
      <c r="G371" s="9"/>
      <c r="H371" s="9"/>
    </row>
    <row r="372" ht="15.75" customHeight="1">
      <c r="G372" s="9"/>
      <c r="H372" s="9"/>
    </row>
    <row r="373" ht="15.75" customHeight="1">
      <c r="G373" s="9"/>
      <c r="H373" s="9"/>
    </row>
    <row r="374" ht="15.75" customHeight="1">
      <c r="G374" s="9"/>
      <c r="H374" s="9"/>
    </row>
    <row r="375" ht="15.75" customHeight="1">
      <c r="G375" s="9"/>
      <c r="H375" s="9"/>
    </row>
    <row r="376" ht="15.75" customHeight="1">
      <c r="G376" s="9"/>
      <c r="H376" s="9"/>
    </row>
    <row r="377" ht="15.75" customHeight="1">
      <c r="G377" s="9"/>
      <c r="H377" s="9"/>
    </row>
    <row r="378" ht="15.75" customHeight="1">
      <c r="G378" s="9"/>
      <c r="H378" s="9"/>
    </row>
    <row r="379" ht="15.75" customHeight="1">
      <c r="G379" s="9"/>
      <c r="H379" s="9"/>
    </row>
    <row r="380" ht="15.75" customHeight="1">
      <c r="G380" s="9"/>
      <c r="H380" s="9"/>
    </row>
    <row r="381" ht="15.75" customHeight="1">
      <c r="G381" s="9"/>
      <c r="H381" s="9"/>
    </row>
    <row r="382" ht="15.75" customHeight="1">
      <c r="G382" s="9"/>
      <c r="H382" s="9"/>
    </row>
    <row r="383" ht="15.75" customHeight="1">
      <c r="G383" s="9"/>
      <c r="H383" s="9"/>
    </row>
    <row r="384" ht="15.75" customHeight="1">
      <c r="G384" s="9"/>
      <c r="H384" s="9"/>
    </row>
    <row r="385" ht="15.75" customHeight="1">
      <c r="G385" s="9"/>
      <c r="H385" s="9"/>
    </row>
    <row r="386" ht="15.75" customHeight="1">
      <c r="G386" s="9"/>
      <c r="H386" s="9"/>
    </row>
    <row r="387" ht="15.75" customHeight="1">
      <c r="G387" s="9"/>
      <c r="H387" s="9"/>
    </row>
    <row r="388" ht="15.75" customHeight="1">
      <c r="G388" s="9"/>
      <c r="H388" s="9"/>
    </row>
    <row r="389" ht="15.75" customHeight="1">
      <c r="G389" s="9"/>
      <c r="H389" s="9"/>
    </row>
    <row r="390" ht="15.75" customHeight="1">
      <c r="G390" s="9"/>
      <c r="H390" s="9"/>
    </row>
    <row r="391" ht="15.75" customHeight="1">
      <c r="G391" s="9"/>
      <c r="H391" s="9"/>
    </row>
    <row r="392" ht="15.75" customHeight="1">
      <c r="G392" s="9"/>
      <c r="H392" s="9"/>
    </row>
    <row r="393" ht="15.75" customHeight="1">
      <c r="G393" s="9"/>
      <c r="H393" s="9"/>
    </row>
    <row r="394" ht="15.75" customHeight="1">
      <c r="G394" s="9"/>
      <c r="H394" s="9"/>
    </row>
    <row r="395" ht="15.75" customHeight="1">
      <c r="G395" s="9"/>
      <c r="H395" s="9"/>
    </row>
    <row r="396" ht="15.75" customHeight="1">
      <c r="G396" s="9"/>
      <c r="H396" s="9"/>
    </row>
    <row r="397" ht="15.75" customHeight="1">
      <c r="G397" s="9"/>
      <c r="H397" s="9"/>
    </row>
    <row r="398" ht="15.75" customHeight="1">
      <c r="G398" s="9"/>
      <c r="H398" s="9"/>
    </row>
    <row r="399" ht="15.75" customHeight="1">
      <c r="G399" s="9"/>
      <c r="H399" s="9"/>
    </row>
    <row r="400" ht="15.75" customHeight="1">
      <c r="G400" s="9"/>
      <c r="H400" s="9"/>
    </row>
    <row r="401" ht="15.75" customHeight="1">
      <c r="G401" s="9"/>
      <c r="H401" s="9"/>
    </row>
    <row r="402" ht="15.75" customHeight="1">
      <c r="G402" s="9"/>
      <c r="H402" s="9"/>
    </row>
    <row r="403" ht="15.75" customHeight="1">
      <c r="G403" s="9"/>
      <c r="H403" s="9"/>
    </row>
    <row r="404" ht="15.75" customHeight="1">
      <c r="G404" s="9"/>
      <c r="H404" s="9"/>
    </row>
    <row r="405" ht="15.75" customHeight="1">
      <c r="G405" s="9"/>
      <c r="H405" s="9"/>
    </row>
    <row r="406" ht="15.75" customHeight="1">
      <c r="G406" s="9"/>
      <c r="H406" s="9"/>
    </row>
    <row r="407" ht="15.75" customHeight="1">
      <c r="G407" s="9"/>
      <c r="H407" s="9"/>
    </row>
    <row r="408" ht="15.75" customHeight="1">
      <c r="G408" s="9"/>
      <c r="H408" s="9"/>
    </row>
    <row r="409" ht="15.75" customHeight="1">
      <c r="G409" s="9"/>
      <c r="H409" s="9"/>
    </row>
    <row r="410" ht="15.75" customHeight="1">
      <c r="G410" s="9"/>
      <c r="H410" s="9"/>
    </row>
    <row r="411" ht="15.75" customHeight="1">
      <c r="G411" s="9"/>
      <c r="H411" s="9"/>
    </row>
    <row r="412" ht="15.75" customHeight="1">
      <c r="G412" s="9"/>
      <c r="H412" s="9"/>
    </row>
    <row r="413" ht="15.75" customHeight="1">
      <c r="G413" s="9"/>
      <c r="H413" s="9"/>
    </row>
    <row r="414" ht="15.75" customHeight="1">
      <c r="G414" s="9"/>
      <c r="H414" s="9"/>
    </row>
    <row r="415" ht="15.75" customHeight="1">
      <c r="G415" s="9"/>
      <c r="H415" s="9"/>
    </row>
    <row r="416" ht="15.75" customHeight="1">
      <c r="G416" s="9"/>
      <c r="H416" s="9"/>
    </row>
    <row r="417" ht="15.75" customHeight="1">
      <c r="G417" s="9"/>
      <c r="H417" s="9"/>
    </row>
    <row r="418" ht="15.75" customHeight="1">
      <c r="G418" s="9"/>
      <c r="H418" s="9"/>
    </row>
    <row r="419" ht="15.75" customHeight="1">
      <c r="G419" s="9"/>
      <c r="H419" s="9"/>
    </row>
    <row r="420" ht="15.75" customHeight="1">
      <c r="G420" s="9"/>
      <c r="H420" s="9"/>
    </row>
    <row r="421" ht="15.75" customHeight="1">
      <c r="G421" s="9"/>
      <c r="H421" s="9"/>
    </row>
    <row r="422" ht="15.75" customHeight="1">
      <c r="G422" s="9"/>
      <c r="H422" s="9"/>
    </row>
    <row r="423" ht="15.75" customHeight="1">
      <c r="G423" s="9"/>
      <c r="H423" s="9"/>
    </row>
    <row r="424" ht="15.75" customHeight="1">
      <c r="G424" s="9"/>
      <c r="H424" s="9"/>
    </row>
    <row r="425" ht="15.75" customHeight="1">
      <c r="G425" s="9"/>
      <c r="H425" s="9"/>
    </row>
    <row r="426" ht="15.75" customHeight="1">
      <c r="G426" s="9"/>
      <c r="H426" s="9"/>
    </row>
    <row r="427" ht="15.75" customHeight="1">
      <c r="G427" s="9"/>
      <c r="H427" s="9"/>
    </row>
    <row r="428" ht="15.75" customHeight="1">
      <c r="G428" s="9"/>
      <c r="H428" s="9"/>
    </row>
    <row r="429" ht="15.75" customHeight="1">
      <c r="G429" s="9"/>
      <c r="H429" s="9"/>
    </row>
    <row r="430" ht="15.75" customHeight="1">
      <c r="G430" s="9"/>
      <c r="H430" s="9"/>
    </row>
    <row r="431" ht="15.75" customHeight="1">
      <c r="G431" s="9"/>
      <c r="H431" s="9"/>
    </row>
    <row r="432" ht="15.75" customHeight="1">
      <c r="G432" s="9"/>
      <c r="H432" s="9"/>
    </row>
    <row r="433" ht="15.75" customHeight="1">
      <c r="G433" s="9"/>
      <c r="H433" s="9"/>
    </row>
    <row r="434" ht="15.75" customHeight="1">
      <c r="G434" s="9"/>
      <c r="H434" s="9"/>
    </row>
    <row r="435" ht="15.75" customHeight="1">
      <c r="G435" s="9"/>
      <c r="H435" s="9"/>
    </row>
    <row r="436" ht="15.75" customHeight="1">
      <c r="G436" s="9"/>
      <c r="H436" s="9"/>
    </row>
    <row r="437" ht="15.75" customHeight="1">
      <c r="G437" s="9"/>
      <c r="H437" s="9"/>
    </row>
    <row r="438" ht="15.75" customHeight="1">
      <c r="G438" s="9"/>
      <c r="H438" s="9"/>
    </row>
    <row r="439" ht="15.75" customHeight="1">
      <c r="G439" s="9"/>
      <c r="H439" s="9"/>
    </row>
    <row r="440" ht="15.75" customHeight="1">
      <c r="G440" s="9"/>
      <c r="H440" s="9"/>
    </row>
    <row r="441" ht="15.75" customHeight="1">
      <c r="G441" s="9"/>
      <c r="H441" s="9"/>
    </row>
    <row r="442" ht="15.75" customHeight="1">
      <c r="G442" s="9"/>
      <c r="H442" s="9"/>
    </row>
    <row r="443" ht="15.75" customHeight="1">
      <c r="G443" s="9"/>
      <c r="H443" s="9"/>
    </row>
    <row r="444" ht="15.75" customHeight="1">
      <c r="G444" s="9"/>
      <c r="H444" s="9"/>
    </row>
    <row r="445" ht="15.75" customHeight="1">
      <c r="G445" s="9"/>
      <c r="H445" s="9"/>
    </row>
    <row r="446" ht="15.75" customHeight="1">
      <c r="G446" s="9"/>
      <c r="H446" s="9"/>
    </row>
    <row r="447" ht="15.75" customHeight="1">
      <c r="G447" s="9"/>
      <c r="H447" s="9"/>
    </row>
    <row r="448" ht="15.75" customHeight="1">
      <c r="G448" s="9"/>
      <c r="H448" s="9"/>
    </row>
    <row r="449" ht="15.75" customHeight="1">
      <c r="G449" s="9"/>
      <c r="H449" s="9"/>
    </row>
    <row r="450" ht="15.75" customHeight="1">
      <c r="G450" s="9"/>
      <c r="H450" s="9"/>
    </row>
    <row r="451" ht="15.75" customHeight="1">
      <c r="G451" s="9"/>
      <c r="H451" s="9"/>
    </row>
    <row r="452" ht="15.75" customHeight="1">
      <c r="G452" s="9"/>
      <c r="H452" s="9"/>
    </row>
    <row r="453" ht="15.75" customHeight="1">
      <c r="G453" s="9"/>
      <c r="H453" s="9"/>
    </row>
    <row r="454" ht="15.75" customHeight="1">
      <c r="G454" s="9"/>
      <c r="H454" s="9"/>
    </row>
    <row r="455" ht="15.75" customHeight="1">
      <c r="G455" s="9"/>
      <c r="H455" s="9"/>
    </row>
    <row r="456" ht="15.75" customHeight="1">
      <c r="G456" s="9"/>
      <c r="H456" s="9"/>
    </row>
    <row r="457" ht="15.75" customHeight="1">
      <c r="G457" s="9"/>
      <c r="H457" s="9"/>
    </row>
    <row r="458" ht="15.75" customHeight="1">
      <c r="G458" s="9"/>
      <c r="H458" s="9"/>
    </row>
    <row r="459" ht="15.75" customHeight="1">
      <c r="G459" s="9"/>
      <c r="H459" s="9"/>
    </row>
    <row r="460" ht="15.75" customHeight="1">
      <c r="G460" s="9"/>
      <c r="H460" s="9"/>
    </row>
    <row r="461" ht="15.75" customHeight="1">
      <c r="G461" s="9"/>
      <c r="H461" s="9"/>
    </row>
    <row r="462" ht="15.75" customHeight="1">
      <c r="G462" s="9"/>
      <c r="H462" s="9"/>
    </row>
    <row r="463" ht="15.75" customHeight="1">
      <c r="G463" s="9"/>
      <c r="H463" s="9"/>
    </row>
    <row r="464" ht="15.75" customHeight="1">
      <c r="G464" s="9"/>
      <c r="H464" s="9"/>
    </row>
    <row r="465" ht="15.75" customHeight="1">
      <c r="G465" s="9"/>
      <c r="H465" s="9"/>
    </row>
    <row r="466" ht="15.75" customHeight="1">
      <c r="G466" s="9"/>
      <c r="H466" s="9"/>
    </row>
    <row r="467" ht="15.75" customHeight="1">
      <c r="G467" s="9"/>
      <c r="H467" s="9"/>
    </row>
    <row r="468" ht="15.75" customHeight="1">
      <c r="G468" s="9"/>
      <c r="H468" s="9"/>
    </row>
    <row r="469" ht="15.75" customHeight="1">
      <c r="G469" s="9"/>
      <c r="H469" s="9"/>
    </row>
    <row r="470" ht="15.75" customHeight="1">
      <c r="G470" s="9"/>
      <c r="H470" s="9"/>
    </row>
    <row r="471" ht="15.75" customHeight="1">
      <c r="G471" s="9"/>
      <c r="H471" s="9"/>
    </row>
    <row r="472" ht="15.75" customHeight="1">
      <c r="G472" s="9"/>
      <c r="H472" s="9"/>
    </row>
    <row r="473" ht="15.75" customHeight="1">
      <c r="G473" s="9"/>
      <c r="H473" s="9"/>
    </row>
    <row r="474" ht="15.75" customHeight="1">
      <c r="G474" s="9"/>
      <c r="H474" s="9"/>
    </row>
    <row r="475" ht="15.75" customHeight="1">
      <c r="G475" s="9"/>
      <c r="H475" s="9"/>
    </row>
    <row r="476" ht="15.75" customHeight="1">
      <c r="G476" s="9"/>
      <c r="H476" s="9"/>
    </row>
    <row r="477" ht="15.75" customHeight="1">
      <c r="G477" s="9"/>
      <c r="H477" s="9"/>
    </row>
    <row r="478" ht="15.75" customHeight="1">
      <c r="G478" s="9"/>
      <c r="H478" s="9"/>
    </row>
    <row r="479" ht="15.75" customHeight="1">
      <c r="G479" s="9"/>
      <c r="H479" s="9"/>
    </row>
    <row r="480" ht="15.75" customHeight="1">
      <c r="G480" s="9"/>
      <c r="H480" s="9"/>
    </row>
    <row r="481" ht="15.75" customHeight="1">
      <c r="G481" s="9"/>
      <c r="H481" s="9"/>
    </row>
    <row r="482" ht="15.75" customHeight="1">
      <c r="G482" s="9"/>
      <c r="H482" s="9"/>
    </row>
    <row r="483" ht="15.75" customHeight="1">
      <c r="G483" s="9"/>
      <c r="H483" s="9"/>
    </row>
    <row r="484" ht="15.75" customHeight="1">
      <c r="G484" s="9"/>
      <c r="H484" s="9"/>
    </row>
    <row r="485" ht="15.75" customHeight="1">
      <c r="G485" s="9"/>
      <c r="H485" s="9"/>
    </row>
    <row r="486" ht="15.75" customHeight="1">
      <c r="G486" s="9"/>
      <c r="H486" s="9"/>
    </row>
    <row r="487" ht="15.75" customHeight="1">
      <c r="G487" s="9"/>
      <c r="H487" s="9"/>
    </row>
    <row r="488" ht="15.75" customHeight="1">
      <c r="G488" s="9"/>
      <c r="H488" s="9"/>
    </row>
    <row r="489" ht="15.75" customHeight="1">
      <c r="G489" s="9"/>
      <c r="H489" s="9"/>
    </row>
    <row r="490" ht="15.75" customHeight="1">
      <c r="G490" s="9"/>
      <c r="H490" s="9"/>
    </row>
    <row r="491" ht="15.75" customHeight="1">
      <c r="G491" s="9"/>
      <c r="H491" s="9"/>
    </row>
    <row r="492" ht="15.75" customHeight="1">
      <c r="G492" s="9"/>
      <c r="H492" s="9"/>
    </row>
    <row r="493" ht="15.75" customHeight="1">
      <c r="G493" s="9"/>
      <c r="H493" s="9"/>
    </row>
    <row r="494" ht="15.75" customHeight="1">
      <c r="G494" s="9"/>
      <c r="H494" s="9"/>
    </row>
    <row r="495" ht="15.75" customHeight="1">
      <c r="G495" s="9"/>
      <c r="H495" s="9"/>
    </row>
    <row r="496" ht="15.75" customHeight="1">
      <c r="G496" s="9"/>
      <c r="H496" s="9"/>
    </row>
    <row r="497" ht="15.75" customHeight="1">
      <c r="G497" s="9"/>
      <c r="H497" s="9"/>
    </row>
    <row r="498" ht="15.75" customHeight="1">
      <c r="G498" s="9"/>
      <c r="H498" s="9"/>
    </row>
    <row r="499" ht="15.75" customHeight="1">
      <c r="G499" s="9"/>
      <c r="H499" s="9"/>
    </row>
    <row r="500" ht="15.75" customHeight="1">
      <c r="G500" s="9"/>
      <c r="H500" s="9"/>
    </row>
    <row r="501" ht="15.75" customHeight="1">
      <c r="G501" s="9"/>
      <c r="H501" s="9"/>
    </row>
    <row r="502" ht="15.75" customHeight="1">
      <c r="G502" s="9"/>
      <c r="H502" s="9"/>
    </row>
    <row r="503" ht="15.75" customHeight="1">
      <c r="G503" s="9"/>
      <c r="H503" s="9"/>
    </row>
    <row r="504" ht="15.75" customHeight="1">
      <c r="G504" s="9"/>
      <c r="H504" s="9"/>
    </row>
    <row r="505" ht="15.75" customHeight="1">
      <c r="G505" s="9"/>
      <c r="H505" s="9"/>
    </row>
    <row r="506" ht="15.75" customHeight="1">
      <c r="G506" s="9"/>
      <c r="H506" s="9"/>
    </row>
    <row r="507" ht="15.75" customHeight="1">
      <c r="G507" s="9"/>
      <c r="H507" s="9"/>
    </row>
    <row r="508" ht="15.75" customHeight="1">
      <c r="G508" s="9"/>
      <c r="H508" s="9"/>
    </row>
    <row r="509" ht="15.75" customHeight="1">
      <c r="G509" s="9"/>
      <c r="H509" s="9"/>
    </row>
    <row r="510" ht="15.75" customHeight="1">
      <c r="G510" s="9"/>
      <c r="H510" s="9"/>
    </row>
    <row r="511" ht="15.75" customHeight="1">
      <c r="G511" s="9"/>
      <c r="H511" s="9"/>
    </row>
    <row r="512" ht="15.75" customHeight="1">
      <c r="G512" s="9"/>
      <c r="H512" s="9"/>
    </row>
    <row r="513" ht="15.75" customHeight="1">
      <c r="G513" s="9"/>
      <c r="H513" s="9"/>
    </row>
    <row r="514" ht="15.75" customHeight="1">
      <c r="G514" s="9"/>
      <c r="H514" s="9"/>
    </row>
    <row r="515" ht="15.75" customHeight="1">
      <c r="G515" s="9"/>
      <c r="H515" s="9"/>
    </row>
    <row r="516" ht="15.75" customHeight="1">
      <c r="G516" s="9"/>
      <c r="H516" s="9"/>
    </row>
    <row r="517" ht="15.75" customHeight="1">
      <c r="G517" s="9"/>
      <c r="H517" s="9"/>
    </row>
    <row r="518" ht="15.75" customHeight="1">
      <c r="G518" s="9"/>
      <c r="H518" s="9"/>
    </row>
    <row r="519" ht="15.75" customHeight="1">
      <c r="G519" s="9"/>
      <c r="H519" s="9"/>
    </row>
    <row r="520" ht="15.75" customHeight="1">
      <c r="G520" s="9"/>
      <c r="H520" s="9"/>
    </row>
    <row r="521" ht="15.75" customHeight="1">
      <c r="G521" s="9"/>
      <c r="H521" s="9"/>
    </row>
    <row r="522" ht="15.75" customHeight="1">
      <c r="G522" s="9"/>
      <c r="H522" s="9"/>
    </row>
    <row r="523" ht="15.75" customHeight="1">
      <c r="G523" s="9"/>
      <c r="H523" s="9"/>
    </row>
    <row r="524" ht="15.75" customHeight="1">
      <c r="G524" s="9"/>
      <c r="H524" s="9"/>
    </row>
    <row r="525" ht="15.75" customHeight="1">
      <c r="G525" s="9"/>
      <c r="H525" s="9"/>
    </row>
    <row r="526" ht="15.75" customHeight="1">
      <c r="G526" s="9"/>
      <c r="H526" s="9"/>
    </row>
    <row r="527" ht="15.75" customHeight="1">
      <c r="G527" s="9"/>
      <c r="H527" s="9"/>
    </row>
    <row r="528" ht="15.75" customHeight="1">
      <c r="G528" s="9"/>
      <c r="H528" s="9"/>
    </row>
    <row r="529" ht="15.75" customHeight="1">
      <c r="G529" s="9"/>
      <c r="H529" s="9"/>
    </row>
    <row r="530" ht="15.75" customHeight="1">
      <c r="G530" s="9"/>
      <c r="H530" s="9"/>
    </row>
    <row r="531" ht="15.75" customHeight="1">
      <c r="G531" s="9"/>
      <c r="H531" s="9"/>
    </row>
    <row r="532" ht="15.75" customHeight="1">
      <c r="G532" s="9"/>
      <c r="H532" s="9"/>
    </row>
    <row r="533" ht="15.75" customHeight="1">
      <c r="G533" s="9"/>
      <c r="H533" s="9"/>
    </row>
    <row r="534" ht="15.75" customHeight="1">
      <c r="G534" s="9"/>
      <c r="H534" s="9"/>
    </row>
    <row r="535" ht="15.75" customHeight="1">
      <c r="G535" s="9"/>
      <c r="H535" s="9"/>
    </row>
    <row r="536" ht="15.75" customHeight="1">
      <c r="G536" s="9"/>
      <c r="H536" s="9"/>
    </row>
    <row r="537" ht="15.75" customHeight="1">
      <c r="G537" s="9"/>
      <c r="H537" s="9"/>
    </row>
    <row r="538" ht="15.75" customHeight="1">
      <c r="G538" s="9"/>
      <c r="H538" s="9"/>
    </row>
    <row r="539" ht="15.75" customHeight="1">
      <c r="G539" s="9"/>
      <c r="H539" s="9"/>
    </row>
    <row r="540" ht="15.75" customHeight="1">
      <c r="G540" s="9"/>
      <c r="H540" s="9"/>
    </row>
    <row r="541" ht="15.75" customHeight="1">
      <c r="G541" s="9"/>
      <c r="H541" s="9"/>
    </row>
    <row r="542" ht="15.75" customHeight="1">
      <c r="G542" s="9"/>
      <c r="H542" s="9"/>
    </row>
    <row r="543" ht="15.75" customHeight="1">
      <c r="G543" s="9"/>
      <c r="H543" s="9"/>
    </row>
    <row r="544" ht="15.75" customHeight="1">
      <c r="G544" s="9"/>
      <c r="H544" s="9"/>
    </row>
    <row r="545" ht="15.75" customHeight="1">
      <c r="G545" s="9"/>
      <c r="H545" s="9"/>
    </row>
    <row r="546" ht="15.75" customHeight="1">
      <c r="G546" s="9"/>
      <c r="H546" s="9"/>
    </row>
    <row r="547" ht="15.75" customHeight="1">
      <c r="G547" s="9"/>
      <c r="H547" s="9"/>
    </row>
    <row r="548" ht="15.75" customHeight="1">
      <c r="G548" s="9"/>
      <c r="H548" s="9"/>
    </row>
    <row r="549" ht="15.75" customHeight="1">
      <c r="G549" s="9"/>
      <c r="H549" s="9"/>
    </row>
    <row r="550" ht="15.75" customHeight="1">
      <c r="G550" s="9"/>
      <c r="H550" s="9"/>
    </row>
    <row r="551" ht="15.75" customHeight="1">
      <c r="G551" s="9"/>
      <c r="H551" s="9"/>
    </row>
    <row r="552" ht="15.75" customHeight="1">
      <c r="G552" s="9"/>
      <c r="H552" s="9"/>
    </row>
    <row r="553" ht="15.75" customHeight="1">
      <c r="G553" s="9"/>
      <c r="H553" s="9"/>
    </row>
    <row r="554" ht="15.75" customHeight="1">
      <c r="G554" s="9"/>
      <c r="H554" s="9"/>
    </row>
    <row r="555" ht="15.75" customHeight="1">
      <c r="G555" s="9"/>
      <c r="H555" s="9"/>
    </row>
    <row r="556" ht="15.75" customHeight="1">
      <c r="G556" s="9"/>
      <c r="H556" s="9"/>
    </row>
    <row r="557" ht="15.75" customHeight="1">
      <c r="G557" s="9"/>
      <c r="H557" s="9"/>
    </row>
    <row r="558" ht="15.75" customHeight="1">
      <c r="G558" s="9"/>
      <c r="H558" s="9"/>
    </row>
    <row r="559" ht="15.75" customHeight="1">
      <c r="G559" s="9"/>
      <c r="H559" s="9"/>
    </row>
    <row r="560" ht="15.75" customHeight="1">
      <c r="G560" s="9"/>
      <c r="H560" s="9"/>
    </row>
    <row r="561" ht="15.75" customHeight="1">
      <c r="G561" s="9"/>
      <c r="H561" s="9"/>
    </row>
    <row r="562" ht="15.75" customHeight="1">
      <c r="G562" s="9"/>
      <c r="H562" s="9"/>
    </row>
    <row r="563" ht="15.75" customHeight="1">
      <c r="G563" s="9"/>
      <c r="H563" s="9"/>
    </row>
    <row r="564" ht="15.75" customHeight="1">
      <c r="G564" s="9"/>
      <c r="H564" s="9"/>
    </row>
    <row r="565" ht="15.75" customHeight="1">
      <c r="G565" s="9"/>
      <c r="H565" s="9"/>
    </row>
    <row r="566" ht="15.75" customHeight="1">
      <c r="G566" s="9"/>
      <c r="H566" s="9"/>
    </row>
    <row r="567" ht="15.75" customHeight="1">
      <c r="G567" s="9"/>
      <c r="H567" s="9"/>
    </row>
    <row r="568" ht="15.75" customHeight="1">
      <c r="G568" s="9"/>
      <c r="H568" s="9"/>
    </row>
    <row r="569" ht="15.75" customHeight="1">
      <c r="G569" s="9"/>
      <c r="H569" s="9"/>
    </row>
    <row r="570" ht="15.75" customHeight="1">
      <c r="G570" s="9"/>
      <c r="H570" s="9"/>
    </row>
    <row r="571" ht="15.75" customHeight="1">
      <c r="G571" s="9"/>
      <c r="H571" s="9"/>
    </row>
    <row r="572" ht="15.75" customHeight="1">
      <c r="G572" s="9"/>
      <c r="H572" s="9"/>
    </row>
    <row r="573" ht="15.75" customHeight="1">
      <c r="G573" s="9"/>
      <c r="H573" s="9"/>
    </row>
    <row r="574" ht="15.75" customHeight="1">
      <c r="G574" s="9"/>
      <c r="H574" s="9"/>
    </row>
    <row r="575" ht="15.75" customHeight="1">
      <c r="G575" s="9"/>
      <c r="H575" s="9"/>
    </row>
    <row r="576" ht="15.75" customHeight="1">
      <c r="G576" s="9"/>
      <c r="H576" s="9"/>
    </row>
    <row r="577" ht="15.75" customHeight="1">
      <c r="G577" s="9"/>
      <c r="H577" s="9"/>
    </row>
    <row r="578" ht="15.75" customHeight="1">
      <c r="G578" s="9"/>
      <c r="H578" s="9"/>
    </row>
    <row r="579" ht="15.75" customHeight="1">
      <c r="G579" s="9"/>
      <c r="H579" s="9"/>
    </row>
    <row r="580" ht="15.75" customHeight="1">
      <c r="G580" s="9"/>
      <c r="H580" s="9"/>
    </row>
    <row r="581" ht="15.75" customHeight="1">
      <c r="G581" s="9"/>
      <c r="H581" s="9"/>
    </row>
    <row r="582" ht="15.75" customHeight="1">
      <c r="G582" s="9"/>
      <c r="H582" s="9"/>
    </row>
    <row r="583" ht="15.75" customHeight="1">
      <c r="G583" s="9"/>
      <c r="H583" s="9"/>
    </row>
    <row r="584" ht="15.75" customHeight="1">
      <c r="G584" s="9"/>
      <c r="H584" s="9"/>
    </row>
    <row r="585" ht="15.75" customHeight="1">
      <c r="G585" s="9"/>
      <c r="H585" s="9"/>
    </row>
    <row r="586" ht="15.75" customHeight="1">
      <c r="G586" s="9"/>
      <c r="H586" s="9"/>
    </row>
    <row r="587" ht="15.75" customHeight="1">
      <c r="G587" s="9"/>
      <c r="H587" s="9"/>
    </row>
    <row r="588" ht="15.75" customHeight="1">
      <c r="G588" s="9"/>
      <c r="H588" s="9"/>
    </row>
    <row r="589" ht="15.75" customHeight="1">
      <c r="G589" s="9"/>
      <c r="H589" s="9"/>
    </row>
    <row r="590" ht="15.75" customHeight="1">
      <c r="G590" s="9"/>
      <c r="H590" s="9"/>
    </row>
    <row r="591" ht="15.75" customHeight="1">
      <c r="G591" s="9"/>
      <c r="H591" s="9"/>
    </row>
    <row r="592" ht="15.75" customHeight="1">
      <c r="G592" s="9"/>
      <c r="H592" s="9"/>
    </row>
    <row r="593" ht="15.75" customHeight="1">
      <c r="G593" s="9"/>
      <c r="H593" s="9"/>
    </row>
    <row r="594" ht="15.75" customHeight="1">
      <c r="G594" s="9"/>
      <c r="H594" s="9"/>
    </row>
    <row r="595" ht="15.75" customHeight="1">
      <c r="G595" s="9"/>
      <c r="H595" s="9"/>
    </row>
    <row r="596" ht="15.75" customHeight="1">
      <c r="G596" s="9"/>
      <c r="H596" s="9"/>
    </row>
    <row r="597" ht="15.75" customHeight="1">
      <c r="G597" s="9"/>
      <c r="H597" s="9"/>
    </row>
    <row r="598" ht="15.75" customHeight="1">
      <c r="G598" s="9"/>
      <c r="H598" s="9"/>
    </row>
    <row r="599" ht="15.75" customHeight="1">
      <c r="G599" s="9"/>
      <c r="H599" s="9"/>
    </row>
    <row r="600" ht="15.75" customHeight="1">
      <c r="G600" s="9"/>
      <c r="H600" s="9"/>
    </row>
    <row r="601" ht="15.75" customHeight="1">
      <c r="G601" s="9"/>
      <c r="H601" s="9"/>
    </row>
    <row r="602" ht="15.75" customHeight="1">
      <c r="G602" s="9"/>
      <c r="H602" s="9"/>
    </row>
    <row r="603" ht="15.75" customHeight="1">
      <c r="G603" s="9"/>
      <c r="H603" s="9"/>
    </row>
    <row r="604" ht="15.75" customHeight="1">
      <c r="G604" s="9"/>
      <c r="H604" s="9"/>
    </row>
    <row r="605" ht="15.75" customHeight="1">
      <c r="G605" s="9"/>
      <c r="H605" s="9"/>
    </row>
    <row r="606" ht="15.75" customHeight="1">
      <c r="G606" s="9"/>
      <c r="H606" s="9"/>
    </row>
    <row r="607" ht="15.75" customHeight="1">
      <c r="G607" s="9"/>
      <c r="H607" s="9"/>
    </row>
    <row r="608" ht="15.75" customHeight="1">
      <c r="G608" s="9"/>
      <c r="H608" s="9"/>
    </row>
    <row r="609" ht="15.75" customHeight="1">
      <c r="G609" s="9"/>
      <c r="H609" s="9"/>
    </row>
    <row r="610" ht="15.75" customHeight="1">
      <c r="G610" s="9"/>
      <c r="H610" s="9"/>
    </row>
    <row r="611" ht="15.75" customHeight="1">
      <c r="G611" s="9"/>
      <c r="H611" s="9"/>
    </row>
    <row r="612" ht="15.75" customHeight="1">
      <c r="G612" s="9"/>
      <c r="H612" s="9"/>
    </row>
    <row r="613" ht="15.75" customHeight="1">
      <c r="G613" s="9"/>
      <c r="H613" s="9"/>
    </row>
    <row r="614" ht="15.75" customHeight="1">
      <c r="G614" s="9"/>
      <c r="H614" s="9"/>
    </row>
    <row r="615" ht="15.75" customHeight="1">
      <c r="G615" s="9"/>
      <c r="H615" s="9"/>
    </row>
    <row r="616" ht="15.75" customHeight="1">
      <c r="G616" s="9"/>
      <c r="H616" s="9"/>
    </row>
    <row r="617" ht="15.75" customHeight="1">
      <c r="G617" s="9"/>
      <c r="H617" s="9"/>
    </row>
    <row r="618" ht="15.75" customHeight="1">
      <c r="G618" s="9"/>
      <c r="H618" s="9"/>
    </row>
    <row r="619" ht="15.75" customHeight="1">
      <c r="G619" s="9"/>
      <c r="H619" s="9"/>
    </row>
    <row r="620" ht="15.75" customHeight="1">
      <c r="G620" s="9"/>
      <c r="H620" s="9"/>
    </row>
    <row r="621" ht="15.75" customHeight="1">
      <c r="G621" s="9"/>
      <c r="H621" s="9"/>
    </row>
    <row r="622" ht="15.75" customHeight="1">
      <c r="G622" s="9"/>
      <c r="H622" s="9"/>
    </row>
    <row r="623" ht="15.75" customHeight="1">
      <c r="G623" s="9"/>
      <c r="H623" s="9"/>
    </row>
    <row r="624" ht="15.75" customHeight="1">
      <c r="G624" s="9"/>
      <c r="H624" s="9"/>
    </row>
    <row r="625" ht="15.75" customHeight="1">
      <c r="G625" s="9"/>
      <c r="H625" s="9"/>
    </row>
    <row r="626" ht="15.75" customHeight="1">
      <c r="G626" s="9"/>
      <c r="H626" s="9"/>
    </row>
    <row r="627" ht="15.75" customHeight="1">
      <c r="G627" s="9"/>
      <c r="H627" s="9"/>
    </row>
    <row r="628" ht="15.75" customHeight="1">
      <c r="G628" s="9"/>
      <c r="H628" s="9"/>
    </row>
    <row r="629" ht="15.75" customHeight="1">
      <c r="G629" s="9"/>
      <c r="H629" s="9"/>
    </row>
    <row r="630" ht="15.75" customHeight="1">
      <c r="G630" s="9"/>
      <c r="H630" s="9"/>
    </row>
    <row r="631" ht="15.75" customHeight="1">
      <c r="G631" s="9"/>
      <c r="H631" s="9"/>
    </row>
    <row r="632" ht="15.75" customHeight="1">
      <c r="G632" s="9"/>
      <c r="H632" s="9"/>
    </row>
    <row r="633" ht="15.75" customHeight="1">
      <c r="G633" s="9"/>
      <c r="H633" s="9"/>
    </row>
    <row r="634" ht="15.75" customHeight="1">
      <c r="G634" s="9"/>
      <c r="H634" s="9"/>
    </row>
    <row r="635" ht="15.75" customHeight="1">
      <c r="G635" s="9"/>
      <c r="H635" s="9"/>
    </row>
    <row r="636" ht="15.75" customHeight="1">
      <c r="G636" s="9"/>
      <c r="H636" s="9"/>
    </row>
    <row r="637" ht="15.75" customHeight="1">
      <c r="G637" s="9"/>
      <c r="H637" s="9"/>
    </row>
    <row r="638" ht="15.75" customHeight="1">
      <c r="G638" s="9"/>
      <c r="H638" s="9"/>
    </row>
    <row r="639" ht="15.75" customHeight="1">
      <c r="G639" s="9"/>
      <c r="H639" s="9"/>
    </row>
    <row r="640" ht="15.75" customHeight="1">
      <c r="G640" s="9"/>
      <c r="H640" s="9"/>
    </row>
    <row r="641" ht="15.75" customHeight="1">
      <c r="G641" s="9"/>
      <c r="H641" s="9"/>
    </row>
    <row r="642" ht="15.75" customHeight="1">
      <c r="G642" s="9"/>
      <c r="H642" s="9"/>
    </row>
    <row r="643" ht="15.75" customHeight="1">
      <c r="G643" s="9"/>
      <c r="H643" s="9"/>
    </row>
    <row r="644" ht="15.75" customHeight="1">
      <c r="G644" s="9"/>
      <c r="H644" s="9"/>
    </row>
    <row r="645" ht="15.75" customHeight="1">
      <c r="G645" s="9"/>
      <c r="H645" s="9"/>
    </row>
    <row r="646" ht="15.75" customHeight="1">
      <c r="G646" s="9"/>
      <c r="H646" s="9"/>
    </row>
    <row r="647" ht="15.75" customHeight="1">
      <c r="G647" s="9"/>
      <c r="H647" s="9"/>
    </row>
    <row r="648" ht="15.75" customHeight="1">
      <c r="G648" s="9"/>
      <c r="H648" s="9"/>
    </row>
    <row r="649" ht="15.75" customHeight="1">
      <c r="G649" s="9"/>
      <c r="H649" s="9"/>
    </row>
    <row r="650" ht="15.75" customHeight="1">
      <c r="G650" s="9"/>
      <c r="H650" s="9"/>
    </row>
    <row r="651" ht="15.75" customHeight="1">
      <c r="G651" s="9"/>
      <c r="H651" s="9"/>
    </row>
    <row r="652" ht="15.75" customHeight="1">
      <c r="G652" s="9"/>
      <c r="H652" s="9"/>
    </row>
    <row r="653" ht="15.75" customHeight="1">
      <c r="G653" s="9"/>
      <c r="H653" s="9"/>
    </row>
    <row r="654" ht="15.75" customHeight="1">
      <c r="G654" s="9"/>
      <c r="H654" s="9"/>
    </row>
    <row r="655" ht="15.75" customHeight="1">
      <c r="G655" s="9"/>
      <c r="H655" s="9"/>
    </row>
    <row r="656" ht="15.75" customHeight="1">
      <c r="G656" s="9"/>
      <c r="H656" s="9"/>
    </row>
    <row r="657" ht="15.75" customHeight="1">
      <c r="G657" s="9"/>
      <c r="H657" s="9"/>
    </row>
    <row r="658" ht="15.75" customHeight="1">
      <c r="G658" s="9"/>
      <c r="H658" s="9"/>
    </row>
    <row r="659" ht="15.75" customHeight="1">
      <c r="G659" s="9"/>
      <c r="H659" s="9"/>
    </row>
    <row r="660" ht="15.75" customHeight="1">
      <c r="G660" s="9"/>
      <c r="H660" s="9"/>
    </row>
    <row r="661" ht="15.75" customHeight="1">
      <c r="G661" s="9"/>
      <c r="H661" s="9"/>
    </row>
    <row r="662" ht="15.75" customHeight="1">
      <c r="G662" s="9"/>
      <c r="H662" s="9"/>
    </row>
    <row r="663" ht="15.75" customHeight="1">
      <c r="G663" s="9"/>
      <c r="H663" s="9"/>
    </row>
    <row r="664" ht="15.75" customHeight="1">
      <c r="G664" s="9"/>
      <c r="H664" s="9"/>
    </row>
    <row r="665" ht="15.75" customHeight="1">
      <c r="G665" s="9"/>
      <c r="H665" s="9"/>
    </row>
    <row r="666" ht="15.75" customHeight="1">
      <c r="G666" s="9"/>
      <c r="H666" s="9"/>
    </row>
    <row r="667" ht="15.75" customHeight="1">
      <c r="G667" s="9"/>
      <c r="H667" s="9"/>
    </row>
    <row r="668" ht="15.75" customHeight="1">
      <c r="G668" s="9"/>
      <c r="H668" s="9"/>
    </row>
    <row r="669" ht="15.75" customHeight="1">
      <c r="G669" s="9"/>
      <c r="H669" s="9"/>
    </row>
    <row r="670" ht="15.75" customHeight="1">
      <c r="G670" s="9"/>
      <c r="H670" s="9"/>
    </row>
    <row r="671" ht="15.75" customHeight="1">
      <c r="G671" s="9"/>
      <c r="H671" s="9"/>
    </row>
    <row r="672" ht="15.75" customHeight="1">
      <c r="G672" s="9"/>
      <c r="H672" s="9"/>
    </row>
    <row r="673" ht="15.75" customHeight="1">
      <c r="G673" s="9"/>
      <c r="H673" s="9"/>
    </row>
    <row r="674" ht="15.75" customHeight="1">
      <c r="G674" s="9"/>
      <c r="H674" s="9"/>
    </row>
    <row r="675" ht="15.75" customHeight="1">
      <c r="G675" s="9"/>
      <c r="H675" s="9"/>
    </row>
    <row r="676" ht="15.75" customHeight="1">
      <c r="G676" s="9"/>
      <c r="H676" s="9"/>
    </row>
    <row r="677" ht="15.75" customHeight="1">
      <c r="G677" s="9"/>
      <c r="H677" s="9"/>
    </row>
    <row r="678" ht="15.75" customHeight="1">
      <c r="G678" s="9"/>
      <c r="H678" s="9"/>
    </row>
    <row r="679" ht="15.75" customHeight="1">
      <c r="G679" s="9"/>
      <c r="H679" s="9"/>
    </row>
    <row r="680" ht="15.75" customHeight="1">
      <c r="G680" s="9"/>
      <c r="H680" s="9"/>
    </row>
    <row r="681" ht="15.75" customHeight="1">
      <c r="G681" s="9"/>
      <c r="H681" s="9"/>
    </row>
    <row r="682" ht="15.75" customHeight="1">
      <c r="G682" s="9"/>
      <c r="H682" s="9"/>
    </row>
    <row r="683" ht="15.75" customHeight="1">
      <c r="G683" s="9"/>
      <c r="H683" s="9"/>
    </row>
    <row r="684" ht="15.75" customHeight="1">
      <c r="G684" s="9"/>
      <c r="H684" s="9"/>
    </row>
    <row r="685" ht="15.75" customHeight="1">
      <c r="G685" s="9"/>
      <c r="H685" s="9"/>
    </row>
    <row r="686" ht="15.75" customHeight="1">
      <c r="G686" s="9"/>
      <c r="H686" s="9"/>
    </row>
    <row r="687" ht="15.75" customHeight="1">
      <c r="G687" s="9"/>
      <c r="H687" s="9"/>
    </row>
    <row r="688" ht="15.75" customHeight="1">
      <c r="G688" s="9"/>
      <c r="H688" s="9"/>
    </row>
    <row r="689" ht="15.75" customHeight="1">
      <c r="G689" s="9"/>
      <c r="H689" s="9"/>
    </row>
    <row r="690" ht="15.75" customHeight="1">
      <c r="G690" s="9"/>
      <c r="H690" s="9"/>
    </row>
    <row r="691" ht="15.75" customHeight="1">
      <c r="G691" s="9"/>
      <c r="H691" s="9"/>
    </row>
    <row r="692" ht="15.75" customHeight="1">
      <c r="G692" s="9"/>
      <c r="H692" s="9"/>
    </row>
    <row r="693" ht="15.75" customHeight="1">
      <c r="G693" s="9"/>
      <c r="H693" s="9"/>
    </row>
    <row r="694" ht="15.75" customHeight="1">
      <c r="G694" s="9"/>
      <c r="H694" s="9"/>
    </row>
    <row r="695" ht="15.75" customHeight="1">
      <c r="G695" s="9"/>
      <c r="H695" s="9"/>
    </row>
    <row r="696" ht="15.75" customHeight="1">
      <c r="G696" s="9"/>
      <c r="H696" s="9"/>
    </row>
    <row r="697" ht="15.75" customHeight="1">
      <c r="G697" s="9"/>
      <c r="H697" s="9"/>
    </row>
    <row r="698" ht="15.75" customHeight="1">
      <c r="G698" s="9"/>
      <c r="H698" s="9"/>
    </row>
    <row r="699" ht="15.75" customHeight="1">
      <c r="G699" s="9"/>
      <c r="H699" s="9"/>
    </row>
    <row r="700" ht="15.75" customHeight="1">
      <c r="G700" s="9"/>
      <c r="H700" s="9"/>
    </row>
    <row r="701" ht="15.75" customHeight="1">
      <c r="G701" s="9"/>
      <c r="H701" s="9"/>
    </row>
    <row r="702" ht="15.75" customHeight="1">
      <c r="G702" s="9"/>
      <c r="H702" s="9"/>
    </row>
    <row r="703" ht="15.75" customHeight="1">
      <c r="G703" s="9"/>
      <c r="H703" s="9"/>
    </row>
    <row r="704" ht="15.75" customHeight="1">
      <c r="G704" s="9"/>
      <c r="H704" s="9"/>
    </row>
    <row r="705" ht="15.75" customHeight="1">
      <c r="G705" s="9"/>
      <c r="H705" s="9"/>
    </row>
    <row r="706" ht="15.75" customHeight="1">
      <c r="G706" s="9"/>
      <c r="H706" s="9"/>
    </row>
    <row r="707" ht="15.75" customHeight="1">
      <c r="G707" s="9"/>
      <c r="H707" s="9"/>
    </row>
    <row r="708" ht="15.75" customHeight="1">
      <c r="G708" s="9"/>
      <c r="H708" s="9"/>
    </row>
    <row r="709" ht="15.75" customHeight="1">
      <c r="G709" s="9"/>
      <c r="H709" s="9"/>
    </row>
    <row r="710" ht="15.75" customHeight="1">
      <c r="G710" s="9"/>
      <c r="H710" s="9"/>
    </row>
    <row r="711" ht="15.75" customHeight="1">
      <c r="G711" s="9"/>
      <c r="H711" s="9"/>
    </row>
    <row r="712" ht="15.75" customHeight="1">
      <c r="G712" s="9"/>
      <c r="H712" s="9"/>
    </row>
    <row r="713" ht="15.75" customHeight="1">
      <c r="G713" s="9"/>
      <c r="H713" s="9"/>
    </row>
    <row r="714" ht="15.75" customHeight="1">
      <c r="G714" s="9"/>
      <c r="H714" s="9"/>
    </row>
    <row r="715" ht="15.75" customHeight="1">
      <c r="G715" s="9"/>
      <c r="H715" s="9"/>
    </row>
    <row r="716" ht="15.75" customHeight="1">
      <c r="G716" s="9"/>
      <c r="H716" s="9"/>
    </row>
    <row r="717" ht="15.75" customHeight="1">
      <c r="G717" s="9"/>
      <c r="H717" s="9"/>
    </row>
    <row r="718" ht="15.75" customHeight="1">
      <c r="G718" s="9"/>
      <c r="H718" s="9"/>
    </row>
    <row r="719" ht="15.75" customHeight="1">
      <c r="G719" s="9"/>
      <c r="H719" s="9"/>
    </row>
    <row r="720" ht="15.75" customHeight="1">
      <c r="G720" s="9"/>
      <c r="H720" s="9"/>
    </row>
    <row r="721" ht="15.75" customHeight="1">
      <c r="G721" s="9"/>
      <c r="H721" s="9"/>
    </row>
    <row r="722" ht="15.75" customHeight="1">
      <c r="G722" s="9"/>
      <c r="H722" s="9"/>
    </row>
    <row r="723" ht="15.75" customHeight="1">
      <c r="G723" s="9"/>
      <c r="H723" s="9"/>
    </row>
    <row r="724" ht="15.75" customHeight="1">
      <c r="G724" s="9"/>
      <c r="H724" s="9"/>
    </row>
    <row r="725" ht="15.75" customHeight="1">
      <c r="G725" s="9"/>
      <c r="H725" s="9"/>
    </row>
    <row r="726" ht="15.75" customHeight="1">
      <c r="G726" s="9"/>
      <c r="H726" s="9"/>
    </row>
    <row r="727" ht="15.75" customHeight="1">
      <c r="G727" s="9"/>
      <c r="H727" s="9"/>
    </row>
    <row r="728" ht="15.75" customHeight="1">
      <c r="G728" s="9"/>
      <c r="H728" s="9"/>
    </row>
    <row r="729" ht="15.75" customHeight="1">
      <c r="G729" s="9"/>
      <c r="H729" s="9"/>
    </row>
    <row r="730" ht="15.75" customHeight="1">
      <c r="G730" s="9"/>
      <c r="H730" s="9"/>
    </row>
    <row r="731" ht="15.75" customHeight="1">
      <c r="G731" s="9"/>
      <c r="H731" s="9"/>
    </row>
    <row r="732" ht="15.75" customHeight="1">
      <c r="G732" s="9"/>
      <c r="H732" s="9"/>
    </row>
    <row r="733" ht="15.75" customHeight="1">
      <c r="G733" s="9"/>
      <c r="H733" s="9"/>
    </row>
    <row r="734" ht="15.75" customHeight="1">
      <c r="G734" s="9"/>
      <c r="H734" s="9"/>
    </row>
    <row r="735" ht="15.75" customHeight="1">
      <c r="G735" s="9"/>
      <c r="H735" s="9"/>
    </row>
    <row r="736" ht="15.75" customHeight="1">
      <c r="G736" s="9"/>
      <c r="H736" s="9"/>
    </row>
    <row r="737" ht="15.75" customHeight="1">
      <c r="G737" s="9"/>
      <c r="H737" s="9"/>
    </row>
    <row r="738" ht="15.75" customHeight="1">
      <c r="G738" s="9"/>
      <c r="H738" s="9"/>
    </row>
    <row r="739" ht="15.75" customHeight="1">
      <c r="G739" s="9"/>
      <c r="H739" s="9"/>
    </row>
    <row r="740" ht="15.75" customHeight="1">
      <c r="G740" s="9"/>
      <c r="H740" s="9"/>
    </row>
    <row r="741" ht="15.75" customHeight="1">
      <c r="G741" s="9"/>
      <c r="H741" s="9"/>
    </row>
    <row r="742" ht="15.75" customHeight="1">
      <c r="G742" s="9"/>
      <c r="H742" s="9"/>
    </row>
    <row r="743" ht="15.75" customHeight="1">
      <c r="G743" s="9"/>
      <c r="H743" s="9"/>
    </row>
    <row r="744" ht="15.75" customHeight="1">
      <c r="G744" s="9"/>
      <c r="H744" s="9"/>
    </row>
    <row r="745" ht="15.75" customHeight="1">
      <c r="G745" s="9"/>
      <c r="H745" s="9"/>
    </row>
    <row r="746" ht="15.75" customHeight="1">
      <c r="G746" s="9"/>
      <c r="H746" s="9"/>
    </row>
    <row r="747" ht="15.75" customHeight="1">
      <c r="G747" s="9"/>
      <c r="H747" s="9"/>
    </row>
    <row r="748" ht="15.75" customHeight="1">
      <c r="G748" s="9"/>
      <c r="H748" s="9"/>
    </row>
    <row r="749" ht="15.75" customHeight="1">
      <c r="G749" s="9"/>
      <c r="H749" s="9"/>
    </row>
    <row r="750" ht="15.75" customHeight="1">
      <c r="G750" s="9"/>
      <c r="H750" s="9"/>
    </row>
    <row r="751" ht="15.75" customHeight="1">
      <c r="G751" s="9"/>
      <c r="H751" s="9"/>
    </row>
    <row r="752" ht="15.75" customHeight="1">
      <c r="G752" s="9"/>
      <c r="H752" s="9"/>
    </row>
    <row r="753" ht="15.75" customHeight="1">
      <c r="G753" s="9"/>
      <c r="H753" s="9"/>
    </row>
    <row r="754" ht="15.75" customHeight="1">
      <c r="G754" s="9"/>
      <c r="H754" s="9"/>
    </row>
    <row r="755" ht="15.75" customHeight="1">
      <c r="G755" s="9"/>
      <c r="H755" s="9"/>
    </row>
    <row r="756" ht="15.75" customHeight="1">
      <c r="G756" s="9"/>
      <c r="H756" s="9"/>
    </row>
    <row r="757" ht="15.75" customHeight="1">
      <c r="G757" s="9"/>
      <c r="H757" s="9"/>
    </row>
    <row r="758" ht="15.75" customHeight="1">
      <c r="G758" s="9"/>
      <c r="H758" s="9"/>
    </row>
    <row r="759" ht="15.75" customHeight="1">
      <c r="G759" s="9"/>
      <c r="H759" s="9"/>
    </row>
    <row r="760" ht="15.75" customHeight="1">
      <c r="G760" s="9"/>
      <c r="H760" s="9"/>
    </row>
    <row r="761" ht="15.75" customHeight="1">
      <c r="G761" s="9"/>
      <c r="H761" s="9"/>
    </row>
    <row r="762" ht="15.75" customHeight="1">
      <c r="G762" s="9"/>
      <c r="H762" s="9"/>
    </row>
    <row r="763" ht="15.75" customHeight="1">
      <c r="G763" s="9"/>
      <c r="H763" s="9"/>
    </row>
    <row r="764" ht="15.75" customHeight="1">
      <c r="G764" s="9"/>
      <c r="H764" s="9"/>
    </row>
    <row r="765" ht="15.75" customHeight="1">
      <c r="G765" s="9"/>
      <c r="H765" s="9"/>
    </row>
    <row r="766" ht="15.75" customHeight="1">
      <c r="G766" s="9"/>
      <c r="H766" s="9"/>
    </row>
    <row r="767" ht="15.75" customHeight="1">
      <c r="G767" s="9"/>
      <c r="H767" s="9"/>
    </row>
    <row r="768" ht="15.75" customHeight="1">
      <c r="G768" s="9"/>
      <c r="H768" s="9"/>
    </row>
    <row r="769" ht="15.75" customHeight="1">
      <c r="G769" s="9"/>
      <c r="H769" s="9"/>
    </row>
    <row r="770" ht="15.75" customHeight="1">
      <c r="G770" s="9"/>
      <c r="H770" s="9"/>
    </row>
    <row r="771" ht="15.75" customHeight="1">
      <c r="G771" s="9"/>
      <c r="H771" s="9"/>
    </row>
    <row r="772" ht="15.75" customHeight="1">
      <c r="G772" s="9"/>
      <c r="H772" s="9"/>
    </row>
    <row r="773" ht="15.75" customHeight="1">
      <c r="G773" s="9"/>
      <c r="H773" s="9"/>
    </row>
    <row r="774" ht="15.75" customHeight="1">
      <c r="G774" s="9"/>
      <c r="H774" s="9"/>
    </row>
    <row r="775" ht="15.75" customHeight="1">
      <c r="G775" s="9"/>
      <c r="H775" s="9"/>
    </row>
    <row r="776" ht="15.75" customHeight="1">
      <c r="G776" s="9"/>
      <c r="H776" s="9"/>
    </row>
    <row r="777" ht="15.75" customHeight="1">
      <c r="G777" s="9"/>
      <c r="H777" s="9"/>
    </row>
    <row r="778" ht="15.75" customHeight="1">
      <c r="G778" s="9"/>
      <c r="H778" s="9"/>
    </row>
    <row r="779" ht="15.75" customHeight="1">
      <c r="G779" s="9"/>
      <c r="H779" s="9"/>
    </row>
    <row r="780" ht="15.75" customHeight="1">
      <c r="G780" s="9"/>
      <c r="H780" s="9"/>
    </row>
    <row r="781" ht="15.75" customHeight="1">
      <c r="G781" s="9"/>
      <c r="H781" s="9"/>
    </row>
    <row r="782" ht="15.75" customHeight="1">
      <c r="G782" s="9"/>
      <c r="H782" s="9"/>
    </row>
    <row r="783" ht="15.75" customHeight="1">
      <c r="G783" s="9"/>
      <c r="H783" s="9"/>
    </row>
    <row r="784" ht="15.75" customHeight="1">
      <c r="G784" s="9"/>
      <c r="H784" s="9"/>
    </row>
    <row r="785" ht="15.75" customHeight="1">
      <c r="G785" s="9"/>
      <c r="H785" s="9"/>
    </row>
    <row r="786" ht="15.75" customHeight="1">
      <c r="G786" s="9"/>
      <c r="H786" s="9"/>
    </row>
    <row r="787" ht="15.75" customHeight="1">
      <c r="G787" s="9"/>
      <c r="H787" s="9"/>
    </row>
    <row r="788" ht="15.75" customHeight="1">
      <c r="G788" s="9"/>
      <c r="H788" s="9"/>
    </row>
    <row r="789" ht="15.75" customHeight="1">
      <c r="G789" s="9"/>
      <c r="H789" s="9"/>
    </row>
    <row r="790" ht="15.75" customHeight="1">
      <c r="G790" s="9"/>
      <c r="H790" s="9"/>
    </row>
    <row r="791" ht="15.75" customHeight="1">
      <c r="G791" s="9"/>
      <c r="H791" s="9"/>
    </row>
    <row r="792" ht="15.75" customHeight="1">
      <c r="G792" s="9"/>
      <c r="H792" s="9"/>
    </row>
    <row r="793" ht="15.75" customHeight="1">
      <c r="G793" s="9"/>
      <c r="H793" s="9"/>
    </row>
    <row r="794" ht="15.75" customHeight="1">
      <c r="G794" s="9"/>
      <c r="H794" s="9"/>
    </row>
    <row r="795" ht="15.75" customHeight="1">
      <c r="G795" s="9"/>
      <c r="H795" s="9"/>
    </row>
    <row r="796" ht="15.75" customHeight="1">
      <c r="G796" s="9"/>
      <c r="H796" s="9"/>
    </row>
    <row r="797" ht="15.75" customHeight="1">
      <c r="G797" s="9"/>
      <c r="H797" s="9"/>
    </row>
    <row r="798" ht="15.75" customHeight="1">
      <c r="G798" s="9"/>
      <c r="H798" s="9"/>
    </row>
    <row r="799" ht="15.75" customHeight="1">
      <c r="G799" s="9"/>
      <c r="H799" s="9"/>
    </row>
    <row r="800" ht="15.75" customHeight="1">
      <c r="G800" s="9"/>
      <c r="H800" s="9"/>
    </row>
    <row r="801" ht="15.75" customHeight="1">
      <c r="G801" s="9"/>
      <c r="H801" s="9"/>
    </row>
    <row r="802" ht="15.75" customHeight="1">
      <c r="G802" s="9"/>
      <c r="H802" s="9"/>
    </row>
    <row r="803" ht="15.75" customHeight="1">
      <c r="G803" s="9"/>
      <c r="H803" s="9"/>
    </row>
    <row r="804" ht="15.75" customHeight="1">
      <c r="G804" s="9"/>
      <c r="H804" s="9"/>
    </row>
    <row r="805" ht="15.75" customHeight="1">
      <c r="G805" s="9"/>
      <c r="H805" s="9"/>
    </row>
    <row r="806" ht="15.75" customHeight="1">
      <c r="G806" s="9"/>
      <c r="H806" s="9"/>
    </row>
    <row r="807" ht="15.75" customHeight="1">
      <c r="G807" s="9"/>
      <c r="H807" s="9"/>
    </row>
    <row r="808" ht="15.75" customHeight="1">
      <c r="G808" s="9"/>
      <c r="H808" s="9"/>
    </row>
    <row r="809" ht="15.75" customHeight="1">
      <c r="G809" s="9"/>
      <c r="H809" s="9"/>
    </row>
    <row r="810" ht="15.75" customHeight="1">
      <c r="G810" s="9"/>
      <c r="H810" s="9"/>
    </row>
    <row r="811" ht="15.75" customHeight="1">
      <c r="G811" s="9"/>
      <c r="H811" s="9"/>
    </row>
    <row r="812" ht="15.75" customHeight="1">
      <c r="G812" s="9"/>
      <c r="H812" s="9"/>
    </row>
    <row r="813" ht="15.75" customHeight="1">
      <c r="G813" s="9"/>
      <c r="H813" s="9"/>
    </row>
    <row r="814" ht="15.75" customHeight="1">
      <c r="G814" s="9"/>
      <c r="H814" s="9"/>
    </row>
    <row r="815" ht="15.75" customHeight="1">
      <c r="G815" s="9"/>
      <c r="H815" s="9"/>
    </row>
    <row r="816" ht="15.75" customHeight="1">
      <c r="G816" s="9"/>
      <c r="H816" s="9"/>
    </row>
    <row r="817" ht="15.75" customHeight="1">
      <c r="G817" s="9"/>
      <c r="H817" s="9"/>
    </row>
    <row r="818" ht="15.75" customHeight="1">
      <c r="G818" s="9"/>
      <c r="H818" s="9"/>
    </row>
    <row r="819" ht="15.75" customHeight="1">
      <c r="G819" s="9"/>
      <c r="H819" s="9"/>
    </row>
    <row r="820" ht="15.75" customHeight="1">
      <c r="G820" s="9"/>
      <c r="H820" s="9"/>
    </row>
    <row r="821" ht="15.75" customHeight="1">
      <c r="G821" s="9"/>
      <c r="H821" s="9"/>
    </row>
    <row r="822" ht="15.75" customHeight="1">
      <c r="G822" s="9"/>
      <c r="H822" s="9"/>
    </row>
    <row r="823" ht="15.75" customHeight="1">
      <c r="G823" s="9"/>
      <c r="H823" s="9"/>
    </row>
    <row r="824" ht="15.75" customHeight="1">
      <c r="G824" s="9"/>
      <c r="H824" s="9"/>
    </row>
    <row r="825" ht="15.75" customHeight="1">
      <c r="G825" s="9"/>
      <c r="H825" s="9"/>
    </row>
    <row r="826" ht="15.75" customHeight="1">
      <c r="G826" s="9"/>
      <c r="H826" s="9"/>
    </row>
    <row r="827" ht="15.75" customHeight="1">
      <c r="G827" s="9"/>
      <c r="H827" s="9"/>
    </row>
    <row r="828" ht="15.75" customHeight="1">
      <c r="G828" s="9"/>
      <c r="H828" s="9"/>
    </row>
    <row r="829" ht="15.75" customHeight="1">
      <c r="G829" s="9"/>
      <c r="H829" s="9"/>
    </row>
    <row r="830" ht="15.75" customHeight="1">
      <c r="G830" s="9"/>
      <c r="H830" s="9"/>
    </row>
    <row r="831" ht="15.75" customHeight="1">
      <c r="G831" s="9"/>
      <c r="H831" s="9"/>
    </row>
    <row r="832" ht="15.75" customHeight="1">
      <c r="G832" s="9"/>
      <c r="H832" s="9"/>
    </row>
    <row r="833" ht="15.75" customHeight="1">
      <c r="G833" s="9"/>
      <c r="H833" s="9"/>
    </row>
    <row r="834" ht="15.75" customHeight="1">
      <c r="G834" s="9"/>
      <c r="H834" s="9"/>
    </row>
    <row r="835" ht="15.75" customHeight="1">
      <c r="G835" s="9"/>
      <c r="H835" s="9"/>
    </row>
    <row r="836" ht="15.75" customHeight="1">
      <c r="G836" s="9"/>
      <c r="H836" s="9"/>
    </row>
    <row r="837" ht="15.75" customHeight="1">
      <c r="G837" s="9"/>
      <c r="H837" s="9"/>
    </row>
    <row r="838" ht="15.75" customHeight="1">
      <c r="G838" s="9"/>
      <c r="H838" s="9"/>
    </row>
    <row r="839" ht="15.75" customHeight="1">
      <c r="G839" s="9"/>
      <c r="H839" s="9"/>
    </row>
    <row r="840" ht="15.75" customHeight="1">
      <c r="G840" s="9"/>
      <c r="H840" s="9"/>
    </row>
    <row r="841" ht="15.75" customHeight="1">
      <c r="G841" s="9"/>
      <c r="H841" s="9"/>
    </row>
    <row r="842" ht="15.75" customHeight="1">
      <c r="G842" s="9"/>
      <c r="H842" s="9"/>
    </row>
    <row r="843" ht="15.75" customHeight="1">
      <c r="G843" s="9"/>
      <c r="H843" s="9"/>
    </row>
    <row r="844" ht="15.75" customHeight="1">
      <c r="G844" s="9"/>
      <c r="H844" s="9"/>
    </row>
    <row r="845" ht="15.75" customHeight="1">
      <c r="G845" s="9"/>
      <c r="H845" s="9"/>
    </row>
    <row r="846" ht="15.75" customHeight="1">
      <c r="G846" s="9"/>
      <c r="H846" s="9"/>
    </row>
    <row r="847" ht="15.75" customHeight="1">
      <c r="G847" s="9"/>
      <c r="H847" s="9"/>
    </row>
    <row r="848" ht="15.75" customHeight="1">
      <c r="G848" s="9"/>
      <c r="H848" s="9"/>
    </row>
    <row r="849" ht="15.75" customHeight="1">
      <c r="G849" s="9"/>
      <c r="H849" s="9"/>
    </row>
    <row r="850" ht="15.75" customHeight="1">
      <c r="G850" s="9"/>
      <c r="H850" s="9"/>
    </row>
    <row r="851" ht="15.75" customHeight="1">
      <c r="G851" s="9"/>
      <c r="H851" s="9"/>
    </row>
    <row r="852" ht="15.75" customHeight="1">
      <c r="G852" s="9"/>
      <c r="H852" s="9"/>
    </row>
    <row r="853" ht="15.75" customHeight="1">
      <c r="G853" s="9"/>
      <c r="H853" s="9"/>
    </row>
    <row r="854" ht="15.75" customHeight="1">
      <c r="G854" s="9"/>
      <c r="H854" s="9"/>
    </row>
    <row r="855" ht="15.75" customHeight="1">
      <c r="G855" s="9"/>
      <c r="H855" s="9"/>
    </row>
    <row r="856" ht="15.75" customHeight="1">
      <c r="G856" s="9"/>
      <c r="H856" s="9"/>
    </row>
    <row r="857" ht="15.75" customHeight="1">
      <c r="G857" s="9"/>
      <c r="H857" s="9"/>
    </row>
    <row r="858" ht="15.75" customHeight="1">
      <c r="G858" s="9"/>
      <c r="H858" s="9"/>
    </row>
    <row r="859" ht="15.75" customHeight="1">
      <c r="G859" s="9"/>
      <c r="H859" s="9"/>
    </row>
    <row r="860" ht="15.75" customHeight="1">
      <c r="G860" s="9"/>
      <c r="H860" s="9"/>
    </row>
    <row r="861" ht="15.75" customHeight="1">
      <c r="G861" s="9"/>
      <c r="H861" s="9"/>
    </row>
    <row r="862" ht="15.75" customHeight="1">
      <c r="G862" s="9"/>
      <c r="H862" s="9"/>
    </row>
    <row r="863" ht="15.75" customHeight="1">
      <c r="G863" s="9"/>
      <c r="H863" s="9"/>
    </row>
    <row r="864" ht="15.75" customHeight="1">
      <c r="G864" s="9"/>
      <c r="H864" s="9"/>
    </row>
    <row r="865" ht="15.75" customHeight="1">
      <c r="G865" s="9"/>
      <c r="H865" s="9"/>
    </row>
    <row r="866" ht="15.75" customHeight="1">
      <c r="G866" s="9"/>
      <c r="H866" s="9"/>
    </row>
    <row r="867" ht="15.75" customHeight="1">
      <c r="G867" s="9"/>
      <c r="H867" s="9"/>
    </row>
    <row r="868" ht="15.75" customHeight="1">
      <c r="G868" s="9"/>
      <c r="H868" s="9"/>
    </row>
    <row r="869" ht="15.75" customHeight="1">
      <c r="G869" s="9"/>
      <c r="H869" s="9"/>
    </row>
    <row r="870" ht="15.75" customHeight="1">
      <c r="G870" s="9"/>
      <c r="H870" s="9"/>
    </row>
    <row r="871" ht="15.75" customHeight="1">
      <c r="G871" s="9"/>
      <c r="H871" s="9"/>
    </row>
    <row r="872" ht="15.75" customHeight="1">
      <c r="G872" s="9"/>
      <c r="H872" s="9"/>
    </row>
    <row r="873" ht="15.75" customHeight="1">
      <c r="G873" s="9"/>
      <c r="H873" s="9"/>
    </row>
    <row r="874" ht="15.75" customHeight="1">
      <c r="G874" s="9"/>
      <c r="H874" s="9"/>
    </row>
    <row r="875" ht="15.75" customHeight="1">
      <c r="G875" s="9"/>
      <c r="H875" s="9"/>
    </row>
    <row r="876" ht="15.75" customHeight="1">
      <c r="G876" s="9"/>
      <c r="H876" s="9"/>
    </row>
    <row r="877" ht="15.75" customHeight="1">
      <c r="G877" s="9"/>
      <c r="H877" s="9"/>
    </row>
    <row r="878" ht="15.75" customHeight="1">
      <c r="G878" s="9"/>
      <c r="H878" s="9"/>
    </row>
    <row r="879" ht="15.75" customHeight="1">
      <c r="G879" s="9"/>
      <c r="H879" s="9"/>
    </row>
    <row r="880" ht="15.75" customHeight="1">
      <c r="G880" s="9"/>
      <c r="H880" s="9"/>
    </row>
    <row r="881" ht="15.75" customHeight="1">
      <c r="G881" s="9"/>
      <c r="H881" s="9"/>
    </row>
    <row r="882" ht="15.75" customHeight="1">
      <c r="G882" s="9"/>
      <c r="H882" s="9"/>
    </row>
    <row r="883" ht="15.75" customHeight="1">
      <c r="G883" s="9"/>
      <c r="H883" s="9"/>
    </row>
    <row r="884" ht="15.75" customHeight="1">
      <c r="G884" s="9"/>
      <c r="H884" s="9"/>
    </row>
    <row r="885" ht="15.75" customHeight="1">
      <c r="G885" s="9"/>
      <c r="H885" s="9"/>
    </row>
    <row r="886" ht="15.75" customHeight="1">
      <c r="G886" s="9"/>
      <c r="H886" s="9"/>
    </row>
    <row r="887" ht="15.75" customHeight="1">
      <c r="G887" s="9"/>
      <c r="H887" s="9"/>
    </row>
    <row r="888" ht="15.75" customHeight="1">
      <c r="G888" s="9"/>
      <c r="H888" s="9"/>
    </row>
    <row r="889" ht="15.75" customHeight="1">
      <c r="G889" s="9"/>
      <c r="H889" s="9"/>
    </row>
    <row r="890" ht="15.75" customHeight="1">
      <c r="G890" s="9"/>
      <c r="H890" s="9"/>
    </row>
    <row r="891" ht="15.75" customHeight="1">
      <c r="G891" s="9"/>
      <c r="H891" s="9"/>
    </row>
    <row r="892" ht="15.75" customHeight="1">
      <c r="G892" s="9"/>
      <c r="H892" s="9"/>
    </row>
    <row r="893" ht="15.75" customHeight="1">
      <c r="G893" s="9"/>
      <c r="H893" s="9"/>
    </row>
    <row r="894" ht="15.75" customHeight="1">
      <c r="G894" s="9"/>
      <c r="H894" s="9"/>
    </row>
    <row r="895" ht="15.75" customHeight="1">
      <c r="G895" s="9"/>
      <c r="H895" s="9"/>
    </row>
    <row r="896" ht="15.75" customHeight="1">
      <c r="G896" s="9"/>
      <c r="H896" s="9"/>
    </row>
    <row r="897" ht="15.75" customHeight="1">
      <c r="G897" s="9"/>
      <c r="H897" s="9"/>
    </row>
    <row r="898" ht="15.75" customHeight="1">
      <c r="G898" s="9"/>
      <c r="H898" s="9"/>
    </row>
    <row r="899" ht="15.75" customHeight="1">
      <c r="G899" s="9"/>
      <c r="H899" s="9"/>
    </row>
    <row r="900" ht="15.75" customHeight="1">
      <c r="G900" s="9"/>
      <c r="H900" s="9"/>
    </row>
    <row r="901" ht="15.75" customHeight="1">
      <c r="G901" s="9"/>
      <c r="H901" s="9"/>
    </row>
    <row r="902" ht="15.75" customHeight="1">
      <c r="G902" s="9"/>
      <c r="H902" s="9"/>
    </row>
    <row r="903" ht="15.75" customHeight="1">
      <c r="G903" s="9"/>
      <c r="H903" s="9"/>
    </row>
    <row r="904" ht="15.75" customHeight="1">
      <c r="G904" s="9"/>
      <c r="H904" s="9"/>
    </row>
    <row r="905" ht="15.75" customHeight="1">
      <c r="G905" s="9"/>
      <c r="H905" s="9"/>
    </row>
    <row r="906" ht="15.75" customHeight="1">
      <c r="G906" s="9"/>
      <c r="H906" s="9"/>
    </row>
    <row r="907" ht="15.75" customHeight="1">
      <c r="G907" s="9"/>
      <c r="H907" s="9"/>
    </row>
    <row r="908" ht="15.75" customHeight="1">
      <c r="G908" s="9"/>
      <c r="H908" s="9"/>
    </row>
    <row r="909" ht="15.75" customHeight="1">
      <c r="G909" s="9"/>
      <c r="H909" s="9"/>
    </row>
    <row r="910" ht="15.75" customHeight="1">
      <c r="G910" s="9"/>
      <c r="H910" s="9"/>
    </row>
    <row r="911" ht="15.75" customHeight="1">
      <c r="G911" s="9"/>
      <c r="H911" s="9"/>
    </row>
    <row r="912" ht="15.75" customHeight="1">
      <c r="G912" s="9"/>
      <c r="H912" s="9"/>
    </row>
    <row r="913" ht="15.75" customHeight="1">
      <c r="G913" s="9"/>
      <c r="H913" s="9"/>
    </row>
    <row r="914" ht="15.75" customHeight="1">
      <c r="G914" s="9"/>
      <c r="H914" s="9"/>
    </row>
    <row r="915" ht="15.75" customHeight="1">
      <c r="G915" s="9"/>
      <c r="H915" s="9"/>
    </row>
    <row r="916" ht="15.75" customHeight="1">
      <c r="G916" s="9"/>
      <c r="H916" s="9"/>
    </row>
    <row r="917" ht="15.75" customHeight="1">
      <c r="G917" s="9"/>
      <c r="H917" s="9"/>
    </row>
    <row r="918" ht="15.75" customHeight="1">
      <c r="G918" s="9"/>
      <c r="H918" s="9"/>
    </row>
    <row r="919" ht="15.75" customHeight="1">
      <c r="G919" s="9"/>
      <c r="H919" s="9"/>
    </row>
    <row r="920" ht="15.75" customHeight="1">
      <c r="G920" s="9"/>
      <c r="H920" s="9"/>
    </row>
    <row r="921" ht="15.75" customHeight="1">
      <c r="G921" s="9"/>
      <c r="H921" s="9"/>
    </row>
    <row r="922" ht="15.75" customHeight="1">
      <c r="G922" s="9"/>
      <c r="H922" s="9"/>
    </row>
    <row r="923" ht="15.75" customHeight="1">
      <c r="G923" s="9"/>
      <c r="H923" s="9"/>
    </row>
    <row r="924" ht="15.75" customHeight="1">
      <c r="G924" s="9"/>
      <c r="H924" s="9"/>
    </row>
    <row r="925" ht="15.75" customHeight="1">
      <c r="G925" s="9"/>
      <c r="H925" s="9"/>
    </row>
    <row r="926" ht="15.75" customHeight="1">
      <c r="G926" s="9"/>
      <c r="H926" s="9"/>
    </row>
    <row r="927" ht="15.75" customHeight="1">
      <c r="G927" s="9"/>
      <c r="H927" s="9"/>
    </row>
    <row r="928" ht="15.75" customHeight="1">
      <c r="G928" s="9"/>
      <c r="H928" s="9"/>
    </row>
    <row r="929" ht="15.75" customHeight="1">
      <c r="G929" s="9"/>
      <c r="H929" s="9"/>
    </row>
    <row r="930" ht="15.75" customHeight="1">
      <c r="G930" s="9"/>
      <c r="H930" s="9"/>
    </row>
    <row r="931" ht="15.75" customHeight="1">
      <c r="G931" s="9"/>
      <c r="H931" s="9"/>
    </row>
    <row r="932" ht="15.75" customHeight="1">
      <c r="G932" s="9"/>
      <c r="H932" s="9"/>
    </row>
    <row r="933" ht="15.75" customHeight="1">
      <c r="G933" s="9"/>
      <c r="H933" s="9"/>
    </row>
    <row r="934" ht="15.75" customHeight="1">
      <c r="G934" s="9"/>
      <c r="H934" s="9"/>
    </row>
    <row r="935" ht="15.75" customHeight="1">
      <c r="G935" s="9"/>
      <c r="H935" s="9"/>
    </row>
    <row r="936" ht="15.75" customHeight="1">
      <c r="G936" s="9"/>
      <c r="H936" s="9"/>
    </row>
    <row r="937" ht="15.75" customHeight="1">
      <c r="G937" s="9"/>
      <c r="H937" s="9"/>
    </row>
    <row r="938" ht="15.75" customHeight="1">
      <c r="G938" s="9"/>
      <c r="H938" s="9"/>
    </row>
    <row r="939" ht="15.75" customHeight="1">
      <c r="G939" s="9"/>
      <c r="H939" s="9"/>
    </row>
    <row r="940" ht="15.75" customHeight="1">
      <c r="G940" s="9"/>
      <c r="H940" s="9"/>
    </row>
    <row r="941" ht="15.75" customHeight="1">
      <c r="G941" s="9"/>
      <c r="H941" s="9"/>
    </row>
    <row r="942" ht="15.75" customHeight="1">
      <c r="G942" s="9"/>
      <c r="H942" s="9"/>
    </row>
    <row r="943" ht="15.75" customHeight="1">
      <c r="G943" s="9"/>
      <c r="H943" s="9"/>
    </row>
    <row r="944" ht="15.75" customHeight="1">
      <c r="G944" s="9"/>
      <c r="H944" s="9"/>
    </row>
    <row r="945" ht="15.75" customHeight="1">
      <c r="G945" s="9"/>
      <c r="H945" s="9"/>
    </row>
    <row r="946" ht="15.75" customHeight="1">
      <c r="G946" s="9"/>
      <c r="H946" s="9"/>
    </row>
    <row r="947" ht="15.75" customHeight="1">
      <c r="G947" s="9"/>
      <c r="H947" s="9"/>
    </row>
    <row r="948" ht="15.75" customHeight="1">
      <c r="G948" s="9"/>
      <c r="H948" s="9"/>
    </row>
    <row r="949" ht="15.75" customHeight="1">
      <c r="G949" s="9"/>
      <c r="H949" s="9"/>
    </row>
    <row r="950" ht="15.75" customHeight="1">
      <c r="G950" s="9"/>
      <c r="H950" s="9"/>
    </row>
    <row r="951" ht="15.75" customHeight="1">
      <c r="G951" s="9"/>
      <c r="H951" s="9"/>
    </row>
    <row r="952" ht="15.75" customHeight="1">
      <c r="G952" s="9"/>
      <c r="H952" s="9"/>
    </row>
    <row r="953" ht="15.75" customHeight="1">
      <c r="G953" s="9"/>
      <c r="H953" s="9"/>
    </row>
    <row r="954" ht="15.75" customHeight="1">
      <c r="G954" s="9"/>
      <c r="H954" s="9"/>
    </row>
    <row r="955" ht="15.75" customHeight="1">
      <c r="G955" s="9"/>
      <c r="H955" s="9"/>
    </row>
    <row r="956" ht="15.75" customHeight="1">
      <c r="G956" s="9"/>
      <c r="H956" s="9"/>
    </row>
    <row r="957" ht="15.75" customHeight="1">
      <c r="G957" s="9"/>
      <c r="H957" s="9"/>
    </row>
    <row r="958" ht="15.75" customHeight="1">
      <c r="G958" s="9"/>
      <c r="H958" s="9"/>
    </row>
    <row r="959" ht="15.75" customHeight="1">
      <c r="G959" s="9"/>
      <c r="H959" s="9"/>
    </row>
    <row r="960" ht="15.75" customHeight="1">
      <c r="G960" s="9"/>
      <c r="H960" s="9"/>
    </row>
    <row r="961" ht="15.75" customHeight="1">
      <c r="G961" s="9"/>
      <c r="H961" s="9"/>
    </row>
    <row r="962" ht="15.75" customHeight="1">
      <c r="G962" s="9"/>
      <c r="H962" s="9"/>
    </row>
    <row r="963" ht="15.75" customHeight="1">
      <c r="G963" s="9"/>
      <c r="H963" s="9"/>
    </row>
    <row r="964" ht="15.75" customHeight="1">
      <c r="G964" s="9"/>
      <c r="H964" s="9"/>
    </row>
    <row r="965" ht="15.75" customHeight="1">
      <c r="G965" s="9"/>
      <c r="H965" s="9"/>
    </row>
    <row r="966" ht="15.75" customHeight="1">
      <c r="G966" s="9"/>
      <c r="H966" s="9"/>
    </row>
    <row r="967" ht="15.75" customHeight="1">
      <c r="G967" s="9"/>
      <c r="H967" s="9"/>
    </row>
    <row r="968" ht="15.75" customHeight="1">
      <c r="G968" s="9"/>
      <c r="H968" s="9"/>
    </row>
    <row r="969" ht="15.75" customHeight="1">
      <c r="G969" s="9"/>
      <c r="H969" s="9"/>
    </row>
    <row r="970" ht="15.75" customHeight="1">
      <c r="G970" s="9"/>
      <c r="H970" s="9"/>
    </row>
    <row r="971" ht="15.75" customHeight="1">
      <c r="G971" s="9"/>
      <c r="H971" s="9"/>
    </row>
    <row r="972" ht="15.75" customHeight="1">
      <c r="G972" s="9"/>
      <c r="H972" s="9"/>
    </row>
    <row r="973" ht="15.75" customHeight="1">
      <c r="G973" s="9"/>
      <c r="H973" s="9"/>
    </row>
    <row r="974" ht="15.75" customHeight="1">
      <c r="G974" s="9"/>
      <c r="H974" s="9"/>
    </row>
    <row r="975" ht="15.75" customHeight="1">
      <c r="G975" s="9"/>
      <c r="H975" s="9"/>
    </row>
    <row r="976" ht="15.75" customHeight="1">
      <c r="G976" s="9"/>
      <c r="H976" s="9"/>
    </row>
    <row r="977" ht="15.75" customHeight="1">
      <c r="G977" s="9"/>
      <c r="H977" s="9"/>
    </row>
    <row r="978" ht="15.75" customHeight="1">
      <c r="G978" s="9"/>
      <c r="H978" s="9"/>
    </row>
    <row r="979" ht="15.75" customHeight="1">
      <c r="G979" s="9"/>
      <c r="H979" s="9"/>
    </row>
    <row r="980" ht="15.75" customHeight="1">
      <c r="G980" s="9"/>
      <c r="H980" s="9"/>
    </row>
    <row r="981" ht="15.75" customHeight="1">
      <c r="G981" s="9"/>
      <c r="H981" s="9"/>
    </row>
    <row r="982" ht="15.75" customHeight="1">
      <c r="G982" s="9"/>
      <c r="H982" s="9"/>
    </row>
    <row r="983" ht="15.75" customHeight="1">
      <c r="G983" s="9"/>
      <c r="H983" s="9"/>
    </row>
    <row r="984" ht="15.75" customHeight="1">
      <c r="G984" s="9"/>
      <c r="H984" s="9"/>
    </row>
    <row r="985" ht="15.75" customHeight="1">
      <c r="G985" s="9"/>
      <c r="H985" s="9"/>
    </row>
    <row r="986" ht="15.75" customHeight="1">
      <c r="G986" s="9"/>
      <c r="H986" s="9"/>
    </row>
    <row r="987" ht="15.75" customHeight="1">
      <c r="G987" s="9"/>
      <c r="H987" s="9"/>
    </row>
    <row r="988" ht="15.75" customHeight="1">
      <c r="G988" s="9"/>
      <c r="H988" s="9"/>
    </row>
    <row r="989" ht="15.75" customHeight="1">
      <c r="G989" s="9"/>
      <c r="H989" s="9"/>
    </row>
    <row r="990" ht="15.75" customHeight="1">
      <c r="G990" s="9"/>
      <c r="H990" s="9"/>
    </row>
    <row r="991" ht="15.75" customHeight="1">
      <c r="G991" s="9"/>
      <c r="H991" s="9"/>
    </row>
    <row r="992" ht="15.75" customHeight="1">
      <c r="G992" s="9"/>
      <c r="H992" s="9"/>
    </row>
    <row r="993" ht="15.75" customHeight="1">
      <c r="G993" s="9"/>
      <c r="H993" s="9"/>
    </row>
    <row r="994" ht="15.75" customHeight="1">
      <c r="G994" s="9"/>
      <c r="H994" s="9"/>
    </row>
    <row r="995" ht="15.75" customHeight="1">
      <c r="G995" s="9"/>
      <c r="H995" s="9"/>
    </row>
    <row r="996" ht="15.75" customHeight="1">
      <c r="G996" s="9"/>
      <c r="H996" s="9"/>
    </row>
    <row r="997" ht="15.75" customHeight="1">
      <c r="G997" s="9"/>
      <c r="H997" s="9"/>
    </row>
    <row r="998" ht="15.75" customHeight="1">
      <c r="G998" s="9"/>
      <c r="H998" s="9"/>
    </row>
    <row r="999" ht="15.75" customHeight="1">
      <c r="G999" s="9"/>
      <c r="H999" s="9"/>
    </row>
    <row r="1000" ht="15.75" customHeight="1">
      <c r="G1000" s="9"/>
      <c r="H1000" s="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s>
  <printOptions/>
  <pageMargins bottom="1.0" footer="0.0" header="0.0" left="0.75" right="0.75" top="1.0"/>
  <pageSetup orientation="landscape"/>
  <drawing r:id="rId183"/>
</worksheet>
</file>